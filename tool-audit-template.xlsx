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anking" sheetId="2" state="visible" r:id="rId2"/>
    <sheet name="Settings" sheetId="3" state="visible" r:id="rId3"/>
    <sheet name="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8" customWidth="1" min="5" max="5"/>
    <col width="48" customWidth="1" min="6" max="6"/>
    <col width="12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30" customWidth="1" min="13" max="13"/>
    <col width="7" customWidth="1" min="14" max="14"/>
    <col width="16" customWidth="1" min="15" max="15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Monthly cost (USD)</t>
        </is>
      </c>
      <c r="D1" s="1" t="inlineStr">
        <is>
          <t>Owner team</t>
        </is>
      </c>
      <c r="E1" s="1" t="inlineStr">
        <is>
          <t>Users</t>
        </is>
      </c>
      <c r="F1" s="1" t="inlineStr">
        <is>
          <t>What it is used for / pain</t>
        </is>
      </c>
      <c r="G1" s="1" t="inlineStr">
        <is>
          <t>Critical system? (Y/N)</t>
        </is>
      </c>
      <c r="H1" s="1" t="inlineStr">
        <is>
          <t>Value (1-5)</t>
        </is>
      </c>
      <c r="I1" s="1" t="inlineStr">
        <is>
          <t>Confidence (0.1-1)</t>
        </is>
      </c>
      <c r="J1" s="1" t="inlineStr">
        <is>
          <t>Effort (1-5)</t>
        </is>
      </c>
      <c r="K1" s="1" t="inlineStr">
        <is>
          <t>Risk (1-5)</t>
        </is>
      </c>
      <c r="L1" s="1" t="inlineStr">
        <is>
          <t>Score</t>
        </is>
      </c>
      <c r="M1" s="1" t="inlineStr">
        <is>
          <t>Decision</t>
        </is>
      </c>
      <c r="N1" s="1" t="inlineStr">
        <is>
          <t>Rank</t>
        </is>
      </c>
      <c r="O1" s="1" t="inlineStr">
        <is>
          <t>Monthly saving if replaced (USD)</t>
        </is>
      </c>
    </row>
    <row r="2">
      <c r="L2">
        <f>IF(OR(H2="",I2="",J2="",K2=""),"",IF(J2+K2=0,"CHECK INPUT",H2*I2/(J2+K2)))</f>
        <v/>
      </c>
      <c r="M2">
        <f>IF(L2="","",IF(L2="CHECK INPUT","CHECK INPUT",IF(G2="Y","Do not replace without sign-off",IF(L2&gt;=Settings!$B$1,"Replace / automate candidate",IF(L2&gt;=Settings!$B$2,"Review","Keep")))))</f>
        <v/>
      </c>
      <c r="N2">
        <f>IF(ISNUMBER(L2),RANK(L2,$L$2:$L$200)+COUNTIF($L$2:L2,L2)-1,"")</f>
        <v/>
      </c>
      <c r="O2">
        <f>IF(M2="Replace / automate candidate",N(C2),0)</f>
        <v/>
      </c>
    </row>
    <row r="3">
      <c r="L3">
        <f>IF(OR(H3="",I3="",J3="",K3=""),"",IF(J3+K3=0,"CHECK INPUT",H3*I3/(J3+K3)))</f>
        <v/>
      </c>
      <c r="M3">
        <f>IF(L3="","",IF(L3="CHECK INPUT","CHECK INPUT",IF(G3="Y","Do not replace without sign-off",IF(L3&gt;=Settings!$B$1,"Replace / automate candidate",IF(L3&gt;=Settings!$B$2,"Review","Keep")))))</f>
        <v/>
      </c>
      <c r="N3">
        <f>IF(ISNUMBER(L3),RANK(L3,$L$2:$L$200)+COUNTIF($L$2:L3,L3)-1,"")</f>
        <v/>
      </c>
      <c r="O3">
        <f>IF(M3="Replace / automate candidate",N(C3),0)</f>
        <v/>
      </c>
    </row>
    <row r="4">
      <c r="L4">
        <f>IF(OR(H4="",I4="",J4="",K4=""),"",IF(J4+K4=0,"CHECK INPUT",H4*I4/(J4+K4)))</f>
        <v/>
      </c>
      <c r="M4">
        <f>IF(L4="","",IF(L4="CHECK INPUT","CHECK INPUT",IF(G4="Y","Do not replace without sign-off",IF(L4&gt;=Settings!$B$1,"Replace / automate candidate",IF(L4&gt;=Settings!$B$2,"Review","Keep")))))</f>
        <v/>
      </c>
      <c r="N4">
        <f>IF(ISNUMBER(L4),RANK(L4,$L$2:$L$200)+COUNTIF($L$2:L4,L4)-1,"")</f>
        <v/>
      </c>
      <c r="O4">
        <f>IF(M4="Replace / automate candidate",N(C4),0)</f>
        <v/>
      </c>
    </row>
    <row r="5">
      <c r="L5">
        <f>IF(OR(H5="",I5="",J5="",K5=""),"",IF(J5+K5=0,"CHECK INPUT",H5*I5/(J5+K5)))</f>
        <v/>
      </c>
      <c r="M5">
        <f>IF(L5="","",IF(L5="CHECK INPUT","CHECK INPUT",IF(G5="Y","Do not replace without sign-off",IF(L5&gt;=Settings!$B$1,"Replace / automate candidate",IF(L5&gt;=Settings!$B$2,"Review","Keep")))))</f>
        <v/>
      </c>
      <c r="N5">
        <f>IF(ISNUMBER(L5),RANK(L5,$L$2:$L$200)+COUNTIF($L$2:L5,L5)-1,"")</f>
        <v/>
      </c>
      <c r="O5">
        <f>IF(M5="Replace / automate candidate",N(C5),0)</f>
        <v/>
      </c>
    </row>
    <row r="6">
      <c r="L6">
        <f>IF(OR(H6="",I6="",J6="",K6=""),"",IF(J6+K6=0,"CHECK INPUT",H6*I6/(J6+K6)))</f>
        <v/>
      </c>
      <c r="M6">
        <f>IF(L6="","",IF(L6="CHECK INPUT","CHECK INPUT",IF(G6="Y","Do not replace without sign-off",IF(L6&gt;=Settings!$B$1,"Replace / automate candidate",IF(L6&gt;=Settings!$B$2,"Review","Keep")))))</f>
        <v/>
      </c>
      <c r="N6">
        <f>IF(ISNUMBER(L6),RANK(L6,$L$2:$L$200)+COUNTIF($L$2:L6,L6)-1,"")</f>
        <v/>
      </c>
      <c r="O6">
        <f>IF(M6="Replace / automate candidate",N(C6),0)</f>
        <v/>
      </c>
    </row>
    <row r="7">
      <c r="L7">
        <f>IF(OR(H7="",I7="",J7="",K7=""),"",IF(J7+K7=0,"CHECK INPUT",H7*I7/(J7+K7)))</f>
        <v/>
      </c>
      <c r="M7">
        <f>IF(L7="","",IF(L7="CHECK INPUT","CHECK INPUT",IF(G7="Y","Do not replace without sign-off",IF(L7&gt;=Settings!$B$1,"Replace / automate candidate",IF(L7&gt;=Settings!$B$2,"Review","Keep")))))</f>
        <v/>
      </c>
      <c r="N7">
        <f>IF(ISNUMBER(L7),RANK(L7,$L$2:$L$200)+COUNTIF($L$2:L7,L7)-1,"")</f>
        <v/>
      </c>
      <c r="O7">
        <f>IF(M7="Replace / automate candidate",N(C7),0)</f>
        <v/>
      </c>
    </row>
    <row r="8">
      <c r="L8">
        <f>IF(OR(H8="",I8="",J8="",K8=""),"",IF(J8+K8=0,"CHECK INPUT",H8*I8/(J8+K8)))</f>
        <v/>
      </c>
      <c r="M8">
        <f>IF(L8="","",IF(L8="CHECK INPUT","CHECK INPUT",IF(G8="Y","Do not replace without sign-off",IF(L8&gt;=Settings!$B$1,"Replace / automate candidate",IF(L8&gt;=Settings!$B$2,"Review","Keep")))))</f>
        <v/>
      </c>
      <c r="N8">
        <f>IF(ISNUMBER(L8),RANK(L8,$L$2:$L$200)+COUNTIF($L$2:L8,L8)-1,"")</f>
        <v/>
      </c>
      <c r="O8">
        <f>IF(M8="Replace / automate candidate",N(C8),0)</f>
        <v/>
      </c>
    </row>
    <row r="9">
      <c r="L9">
        <f>IF(OR(H9="",I9="",J9="",K9=""),"",IF(J9+K9=0,"CHECK INPUT",H9*I9/(J9+K9)))</f>
        <v/>
      </c>
      <c r="M9">
        <f>IF(L9="","",IF(L9="CHECK INPUT","CHECK INPUT",IF(G9="Y","Do not replace without sign-off",IF(L9&gt;=Settings!$B$1,"Replace / automate candidate",IF(L9&gt;=Settings!$B$2,"Review","Keep")))))</f>
        <v/>
      </c>
      <c r="N9">
        <f>IF(ISNUMBER(L9),RANK(L9,$L$2:$L$200)+COUNTIF($L$2:L9,L9)-1,"")</f>
        <v/>
      </c>
      <c r="O9">
        <f>IF(M9="Replace / automate candidate",N(C9),0)</f>
        <v/>
      </c>
    </row>
    <row r="10">
      <c r="L10">
        <f>IF(OR(H10="",I10="",J10="",K10=""),"",IF(J10+K10=0,"CHECK INPUT",H10*I10/(J10+K10)))</f>
        <v/>
      </c>
      <c r="M10">
        <f>IF(L10="","",IF(L10="CHECK INPUT","CHECK INPUT",IF(G10="Y","Do not replace without sign-off",IF(L10&gt;=Settings!$B$1,"Replace / automate candidate",IF(L10&gt;=Settings!$B$2,"Review","Keep")))))</f>
        <v/>
      </c>
      <c r="N10">
        <f>IF(ISNUMBER(L10),RANK(L10,$L$2:$L$200)+COUNTIF($L$2:L10,L10)-1,"")</f>
        <v/>
      </c>
      <c r="O10">
        <f>IF(M10="Replace / automate candidate",N(C10),0)</f>
        <v/>
      </c>
    </row>
    <row r="11">
      <c r="L11">
        <f>IF(OR(H11="",I11="",J11="",K11=""),"",IF(J11+K11=0,"CHECK INPUT",H11*I11/(J11+K11)))</f>
        <v/>
      </c>
      <c r="M11">
        <f>IF(L11="","",IF(L11="CHECK INPUT","CHECK INPUT",IF(G11="Y","Do not replace without sign-off",IF(L11&gt;=Settings!$B$1,"Replace / automate candidate",IF(L11&gt;=Settings!$B$2,"Review","Keep")))))</f>
        <v/>
      </c>
      <c r="N11">
        <f>IF(ISNUMBER(L11),RANK(L11,$L$2:$L$200)+COUNTIF($L$2:L11,L11)-1,"")</f>
        <v/>
      </c>
      <c r="O11">
        <f>IF(M11="Replace / automate candidate",N(C11),0)</f>
        <v/>
      </c>
    </row>
    <row r="12">
      <c r="L12">
        <f>IF(OR(H12="",I12="",J12="",K12=""),"",IF(J12+K12=0,"CHECK INPUT",H12*I12/(J12+K12)))</f>
        <v/>
      </c>
      <c r="M12">
        <f>IF(L12="","",IF(L12="CHECK INPUT","CHECK INPUT",IF(G12="Y","Do not replace without sign-off",IF(L12&gt;=Settings!$B$1,"Replace / automate candidate",IF(L12&gt;=Settings!$B$2,"Review","Keep")))))</f>
        <v/>
      </c>
      <c r="N12">
        <f>IF(ISNUMBER(L12),RANK(L12,$L$2:$L$200)+COUNTIF($L$2:L12,L12)-1,"")</f>
        <v/>
      </c>
      <c r="O12">
        <f>IF(M12="Replace / automate candidate",N(C12),0)</f>
        <v/>
      </c>
    </row>
    <row r="13">
      <c r="L13">
        <f>IF(OR(H13="",I13="",J13="",K13=""),"",IF(J13+K13=0,"CHECK INPUT",H13*I13/(J13+K13)))</f>
        <v/>
      </c>
      <c r="M13">
        <f>IF(L13="","",IF(L13="CHECK INPUT","CHECK INPUT",IF(G13="Y","Do not replace without sign-off",IF(L13&gt;=Settings!$B$1,"Replace / automate candidate",IF(L13&gt;=Settings!$B$2,"Review","Keep")))))</f>
        <v/>
      </c>
      <c r="N13">
        <f>IF(ISNUMBER(L13),RANK(L13,$L$2:$L$200)+COUNTIF($L$2:L13,L13)-1,"")</f>
        <v/>
      </c>
      <c r="O13">
        <f>IF(M13="Replace / automate candidate",N(C13),0)</f>
        <v/>
      </c>
    </row>
    <row r="14">
      <c r="L14">
        <f>IF(OR(H14="",I14="",J14="",K14=""),"",IF(J14+K14=0,"CHECK INPUT",H14*I14/(J14+K14)))</f>
        <v/>
      </c>
      <c r="M14">
        <f>IF(L14="","",IF(L14="CHECK INPUT","CHECK INPUT",IF(G14="Y","Do not replace without sign-off",IF(L14&gt;=Settings!$B$1,"Replace / automate candidate",IF(L14&gt;=Settings!$B$2,"Review","Keep")))))</f>
        <v/>
      </c>
      <c r="N14">
        <f>IF(ISNUMBER(L14),RANK(L14,$L$2:$L$200)+COUNTIF($L$2:L14,L14)-1,"")</f>
        <v/>
      </c>
      <c r="O14">
        <f>IF(M14="Replace / automate candidate",N(C14),0)</f>
        <v/>
      </c>
    </row>
    <row r="15">
      <c r="L15">
        <f>IF(OR(H15="",I15="",J15="",K15=""),"",IF(J15+K15=0,"CHECK INPUT",H15*I15/(J15+K15)))</f>
        <v/>
      </c>
      <c r="M15">
        <f>IF(L15="","",IF(L15="CHECK INPUT","CHECK INPUT",IF(G15="Y","Do not replace without sign-off",IF(L15&gt;=Settings!$B$1,"Replace / automate candidate",IF(L15&gt;=Settings!$B$2,"Review","Keep")))))</f>
        <v/>
      </c>
      <c r="N15">
        <f>IF(ISNUMBER(L15),RANK(L15,$L$2:$L$200)+COUNTIF($L$2:L15,L15)-1,"")</f>
        <v/>
      </c>
      <c r="O15">
        <f>IF(M15="Replace / automate candidate",N(C15),0)</f>
        <v/>
      </c>
    </row>
    <row r="16">
      <c r="L16">
        <f>IF(OR(H16="",I16="",J16="",K16=""),"",IF(J16+K16=0,"CHECK INPUT",H16*I16/(J16+K16)))</f>
        <v/>
      </c>
      <c r="M16">
        <f>IF(L16="","",IF(L16="CHECK INPUT","CHECK INPUT",IF(G16="Y","Do not replace without sign-off",IF(L16&gt;=Settings!$B$1,"Replace / automate candidate",IF(L16&gt;=Settings!$B$2,"Review","Keep")))))</f>
        <v/>
      </c>
      <c r="N16">
        <f>IF(ISNUMBER(L16),RANK(L16,$L$2:$L$200)+COUNTIF($L$2:L16,L16)-1,"")</f>
        <v/>
      </c>
      <c r="O16">
        <f>IF(M16="Replace / automate candidate",N(C16),0)</f>
        <v/>
      </c>
    </row>
    <row r="17">
      <c r="L17">
        <f>IF(OR(H17="",I17="",J17="",K17=""),"",IF(J17+K17=0,"CHECK INPUT",H17*I17/(J17+K17)))</f>
        <v/>
      </c>
      <c r="M17">
        <f>IF(L17="","",IF(L17="CHECK INPUT","CHECK INPUT",IF(G17="Y","Do not replace without sign-off",IF(L17&gt;=Settings!$B$1,"Replace / automate candidate",IF(L17&gt;=Settings!$B$2,"Review","Keep")))))</f>
        <v/>
      </c>
      <c r="N17">
        <f>IF(ISNUMBER(L17),RANK(L17,$L$2:$L$200)+COUNTIF($L$2:L17,L17)-1,"")</f>
        <v/>
      </c>
      <c r="O17">
        <f>IF(M17="Replace / automate candidate",N(C17),0)</f>
        <v/>
      </c>
    </row>
    <row r="18">
      <c r="L18">
        <f>IF(OR(H18="",I18="",J18="",K18=""),"",IF(J18+K18=0,"CHECK INPUT",H18*I18/(J18+K18)))</f>
        <v/>
      </c>
      <c r="M18">
        <f>IF(L18="","",IF(L18="CHECK INPUT","CHECK INPUT",IF(G18="Y","Do not replace without sign-off",IF(L18&gt;=Settings!$B$1,"Replace / automate candidate",IF(L18&gt;=Settings!$B$2,"Review","Keep")))))</f>
        <v/>
      </c>
      <c r="N18">
        <f>IF(ISNUMBER(L18),RANK(L18,$L$2:$L$200)+COUNTIF($L$2:L18,L18)-1,"")</f>
        <v/>
      </c>
      <c r="O18">
        <f>IF(M18="Replace / automate candidate",N(C18),0)</f>
        <v/>
      </c>
    </row>
    <row r="19">
      <c r="L19">
        <f>IF(OR(H19="",I19="",J19="",K19=""),"",IF(J19+K19=0,"CHECK INPUT",H19*I19/(J19+K19)))</f>
        <v/>
      </c>
      <c r="M19">
        <f>IF(L19="","",IF(L19="CHECK INPUT","CHECK INPUT",IF(G19="Y","Do not replace without sign-off",IF(L19&gt;=Settings!$B$1,"Replace / automate candidate",IF(L19&gt;=Settings!$B$2,"Review","Keep")))))</f>
        <v/>
      </c>
      <c r="N19">
        <f>IF(ISNUMBER(L19),RANK(L19,$L$2:$L$200)+COUNTIF($L$2:L19,L19)-1,"")</f>
        <v/>
      </c>
      <c r="O19">
        <f>IF(M19="Replace / automate candidate",N(C19),0)</f>
        <v/>
      </c>
    </row>
    <row r="20">
      <c r="L20">
        <f>IF(OR(H20="",I20="",J20="",K20=""),"",IF(J20+K20=0,"CHECK INPUT",H20*I20/(J20+K20)))</f>
        <v/>
      </c>
      <c r="M20">
        <f>IF(L20="","",IF(L20="CHECK INPUT","CHECK INPUT",IF(G20="Y","Do not replace without sign-off",IF(L20&gt;=Settings!$B$1,"Replace / automate candidate",IF(L20&gt;=Settings!$B$2,"Review","Keep")))))</f>
        <v/>
      </c>
      <c r="N20">
        <f>IF(ISNUMBER(L20),RANK(L20,$L$2:$L$200)+COUNTIF($L$2:L20,L20)-1,"")</f>
        <v/>
      </c>
      <c r="O20">
        <f>IF(M20="Replace / automate candidate",N(C20),0)</f>
        <v/>
      </c>
    </row>
    <row r="21">
      <c r="L21">
        <f>IF(OR(H21="",I21="",J21="",K21=""),"",IF(J21+K21=0,"CHECK INPUT",H21*I21/(J21+K21)))</f>
        <v/>
      </c>
      <c r="M21">
        <f>IF(L21="","",IF(L21="CHECK INPUT","CHECK INPUT",IF(G21="Y","Do not replace without sign-off",IF(L21&gt;=Settings!$B$1,"Replace / automate candidate",IF(L21&gt;=Settings!$B$2,"Review","Keep")))))</f>
        <v/>
      </c>
      <c r="N21">
        <f>IF(ISNUMBER(L21),RANK(L21,$L$2:$L$200)+COUNTIF($L$2:L21,L21)-1,"")</f>
        <v/>
      </c>
      <c r="O21">
        <f>IF(M21="Replace / automate candidate",N(C21),0)</f>
        <v/>
      </c>
    </row>
    <row r="22">
      <c r="L22">
        <f>IF(OR(H22="",I22="",J22="",K22=""),"",IF(J22+K22=0,"CHECK INPUT",H22*I22/(J22+K22)))</f>
        <v/>
      </c>
      <c r="M22">
        <f>IF(L22="","",IF(L22="CHECK INPUT","CHECK INPUT",IF(G22="Y","Do not replace without sign-off",IF(L22&gt;=Settings!$B$1,"Replace / automate candidate",IF(L22&gt;=Settings!$B$2,"Review","Keep")))))</f>
        <v/>
      </c>
      <c r="N22">
        <f>IF(ISNUMBER(L22),RANK(L22,$L$2:$L$200)+COUNTIF($L$2:L22,L22)-1,"")</f>
        <v/>
      </c>
      <c r="O22">
        <f>IF(M22="Replace / automate candidate",N(C22),0)</f>
        <v/>
      </c>
    </row>
    <row r="23">
      <c r="L23">
        <f>IF(OR(H23="",I23="",J23="",K23=""),"",IF(J23+K23=0,"CHECK INPUT",H23*I23/(J23+K23)))</f>
        <v/>
      </c>
      <c r="M23">
        <f>IF(L23="","",IF(L23="CHECK INPUT","CHECK INPUT",IF(G23="Y","Do not replace without sign-off",IF(L23&gt;=Settings!$B$1,"Replace / automate candidate",IF(L23&gt;=Settings!$B$2,"Review","Keep")))))</f>
        <v/>
      </c>
      <c r="N23">
        <f>IF(ISNUMBER(L23),RANK(L23,$L$2:$L$200)+COUNTIF($L$2:L23,L23)-1,"")</f>
        <v/>
      </c>
      <c r="O23">
        <f>IF(M23="Replace / automate candidate",N(C23),0)</f>
        <v/>
      </c>
    </row>
    <row r="24">
      <c r="L24">
        <f>IF(OR(H24="",I24="",J24="",K24=""),"",IF(J24+K24=0,"CHECK INPUT",H24*I24/(J24+K24)))</f>
        <v/>
      </c>
      <c r="M24">
        <f>IF(L24="","",IF(L24="CHECK INPUT","CHECK INPUT",IF(G24="Y","Do not replace without sign-off",IF(L24&gt;=Settings!$B$1,"Replace / automate candidate",IF(L24&gt;=Settings!$B$2,"Review","Keep")))))</f>
        <v/>
      </c>
      <c r="N24">
        <f>IF(ISNUMBER(L24),RANK(L24,$L$2:$L$200)+COUNTIF($L$2:L24,L24)-1,"")</f>
        <v/>
      </c>
      <c r="O24">
        <f>IF(M24="Replace / automate candidate",N(C24),0)</f>
        <v/>
      </c>
    </row>
    <row r="25">
      <c r="L25">
        <f>IF(OR(H25="",I25="",J25="",K25=""),"",IF(J25+K25=0,"CHECK INPUT",H25*I25/(J25+K25)))</f>
        <v/>
      </c>
      <c r="M25">
        <f>IF(L25="","",IF(L25="CHECK INPUT","CHECK INPUT",IF(G25="Y","Do not replace without sign-off",IF(L25&gt;=Settings!$B$1,"Replace / automate candidate",IF(L25&gt;=Settings!$B$2,"Review","Keep")))))</f>
        <v/>
      </c>
      <c r="N25">
        <f>IF(ISNUMBER(L25),RANK(L25,$L$2:$L$200)+COUNTIF($L$2:L25,L25)-1,"")</f>
        <v/>
      </c>
      <c r="O25">
        <f>IF(M25="Replace / automate candidate",N(C25),0)</f>
        <v/>
      </c>
    </row>
    <row r="26">
      <c r="L26">
        <f>IF(OR(H26="",I26="",J26="",K26=""),"",IF(J26+K26=0,"CHECK INPUT",H26*I26/(J26+K26)))</f>
        <v/>
      </c>
      <c r="M26">
        <f>IF(L26="","",IF(L26="CHECK INPUT","CHECK INPUT",IF(G26="Y","Do not replace without sign-off",IF(L26&gt;=Settings!$B$1,"Replace / automate candidate",IF(L26&gt;=Settings!$B$2,"Review","Keep")))))</f>
        <v/>
      </c>
      <c r="N26">
        <f>IF(ISNUMBER(L26),RANK(L26,$L$2:$L$200)+COUNTIF($L$2:L26,L26)-1,"")</f>
        <v/>
      </c>
      <c r="O26">
        <f>IF(M26="Replace / automate candidate",N(C26),0)</f>
        <v/>
      </c>
    </row>
    <row r="27">
      <c r="L27">
        <f>IF(OR(H27="",I27="",J27="",K27=""),"",IF(J27+K27=0,"CHECK INPUT",H27*I27/(J27+K27)))</f>
        <v/>
      </c>
      <c r="M27">
        <f>IF(L27="","",IF(L27="CHECK INPUT","CHECK INPUT",IF(G27="Y","Do not replace without sign-off",IF(L27&gt;=Settings!$B$1,"Replace / automate candidate",IF(L27&gt;=Settings!$B$2,"Review","Keep")))))</f>
        <v/>
      </c>
      <c r="N27">
        <f>IF(ISNUMBER(L27),RANK(L27,$L$2:$L$200)+COUNTIF($L$2:L27,L27)-1,"")</f>
        <v/>
      </c>
      <c r="O27">
        <f>IF(M27="Replace / automate candidate",N(C27),0)</f>
        <v/>
      </c>
    </row>
    <row r="28">
      <c r="L28">
        <f>IF(OR(H28="",I28="",J28="",K28=""),"",IF(J28+K28=0,"CHECK INPUT",H28*I28/(J28+K28)))</f>
        <v/>
      </c>
      <c r="M28">
        <f>IF(L28="","",IF(L28="CHECK INPUT","CHECK INPUT",IF(G28="Y","Do not replace without sign-off",IF(L28&gt;=Settings!$B$1,"Replace / automate candidate",IF(L28&gt;=Settings!$B$2,"Review","Keep")))))</f>
        <v/>
      </c>
      <c r="N28">
        <f>IF(ISNUMBER(L28),RANK(L28,$L$2:$L$200)+COUNTIF($L$2:L28,L28)-1,"")</f>
        <v/>
      </c>
      <c r="O28">
        <f>IF(M28="Replace / automate candidate",N(C28),0)</f>
        <v/>
      </c>
    </row>
    <row r="29">
      <c r="L29">
        <f>IF(OR(H29="",I29="",J29="",K29=""),"",IF(J29+K29=0,"CHECK INPUT",H29*I29/(J29+K29)))</f>
        <v/>
      </c>
      <c r="M29">
        <f>IF(L29="","",IF(L29="CHECK INPUT","CHECK INPUT",IF(G29="Y","Do not replace without sign-off",IF(L29&gt;=Settings!$B$1,"Replace / automate candidate",IF(L29&gt;=Settings!$B$2,"Review","Keep")))))</f>
        <v/>
      </c>
      <c r="N29">
        <f>IF(ISNUMBER(L29),RANK(L29,$L$2:$L$200)+COUNTIF($L$2:L29,L29)-1,"")</f>
        <v/>
      </c>
      <c r="O29">
        <f>IF(M29="Replace / automate candidate",N(C29),0)</f>
        <v/>
      </c>
    </row>
    <row r="30">
      <c r="L30">
        <f>IF(OR(H30="",I30="",J30="",K30=""),"",IF(J30+K30=0,"CHECK INPUT",H30*I30/(J30+K30)))</f>
        <v/>
      </c>
      <c r="M30">
        <f>IF(L30="","",IF(L30="CHECK INPUT","CHECK INPUT",IF(G30="Y","Do not replace without sign-off",IF(L30&gt;=Settings!$B$1,"Replace / automate candidate",IF(L30&gt;=Settings!$B$2,"Review","Keep")))))</f>
        <v/>
      </c>
      <c r="N30">
        <f>IF(ISNUMBER(L30),RANK(L30,$L$2:$L$200)+COUNTIF($L$2:L30,L30)-1,"")</f>
        <v/>
      </c>
      <c r="O30">
        <f>IF(M30="Replace / automate candidate",N(C30),0)</f>
        <v/>
      </c>
    </row>
    <row r="31">
      <c r="L31">
        <f>IF(OR(H31="",I31="",J31="",K31=""),"",IF(J31+K31=0,"CHECK INPUT",H31*I31/(J31+K31)))</f>
        <v/>
      </c>
      <c r="M31">
        <f>IF(L31="","",IF(L31="CHECK INPUT","CHECK INPUT",IF(G31="Y","Do not replace without sign-off",IF(L31&gt;=Settings!$B$1,"Replace / automate candidate",IF(L31&gt;=Settings!$B$2,"Review","Keep")))))</f>
        <v/>
      </c>
      <c r="N31">
        <f>IF(ISNUMBER(L31),RANK(L31,$L$2:$L$200)+COUNTIF($L$2:L31,L31)-1,"")</f>
        <v/>
      </c>
      <c r="O31">
        <f>IF(M31="Replace / automate candidate",N(C31),0)</f>
        <v/>
      </c>
    </row>
    <row r="32">
      <c r="L32">
        <f>IF(OR(H32="",I32="",J32="",K32=""),"",IF(J32+K32=0,"CHECK INPUT",H32*I32/(J32+K32)))</f>
        <v/>
      </c>
      <c r="M32">
        <f>IF(L32="","",IF(L32="CHECK INPUT","CHECK INPUT",IF(G32="Y","Do not replace without sign-off",IF(L32&gt;=Settings!$B$1,"Replace / automate candidate",IF(L32&gt;=Settings!$B$2,"Review","Keep")))))</f>
        <v/>
      </c>
      <c r="N32">
        <f>IF(ISNUMBER(L32),RANK(L32,$L$2:$L$200)+COUNTIF($L$2:L32,L32)-1,"")</f>
        <v/>
      </c>
      <c r="O32">
        <f>IF(M32="Replace / automate candidate",N(C32),0)</f>
        <v/>
      </c>
    </row>
    <row r="33">
      <c r="L33">
        <f>IF(OR(H33="",I33="",J33="",K33=""),"",IF(J33+K33=0,"CHECK INPUT",H33*I33/(J33+K33)))</f>
        <v/>
      </c>
      <c r="M33">
        <f>IF(L33="","",IF(L33="CHECK INPUT","CHECK INPUT",IF(G33="Y","Do not replace without sign-off",IF(L33&gt;=Settings!$B$1,"Replace / automate candidate",IF(L33&gt;=Settings!$B$2,"Review","Keep")))))</f>
        <v/>
      </c>
      <c r="N33">
        <f>IF(ISNUMBER(L33),RANK(L33,$L$2:$L$200)+COUNTIF($L$2:L33,L33)-1,"")</f>
        <v/>
      </c>
      <c r="O33">
        <f>IF(M33="Replace / automate candidate",N(C33),0)</f>
        <v/>
      </c>
    </row>
    <row r="34">
      <c r="L34">
        <f>IF(OR(H34="",I34="",J34="",K34=""),"",IF(J34+K34=0,"CHECK INPUT",H34*I34/(J34+K34)))</f>
        <v/>
      </c>
      <c r="M34">
        <f>IF(L34="","",IF(L34="CHECK INPUT","CHECK INPUT",IF(G34="Y","Do not replace without sign-off",IF(L34&gt;=Settings!$B$1,"Replace / automate candidate",IF(L34&gt;=Settings!$B$2,"Review","Keep")))))</f>
        <v/>
      </c>
      <c r="N34">
        <f>IF(ISNUMBER(L34),RANK(L34,$L$2:$L$200)+COUNTIF($L$2:L34,L34)-1,"")</f>
        <v/>
      </c>
      <c r="O34">
        <f>IF(M34="Replace / automate candidate",N(C34),0)</f>
        <v/>
      </c>
    </row>
    <row r="35">
      <c r="L35">
        <f>IF(OR(H35="",I35="",J35="",K35=""),"",IF(J35+K35=0,"CHECK INPUT",H35*I35/(J35+K35)))</f>
        <v/>
      </c>
      <c r="M35">
        <f>IF(L35="","",IF(L35="CHECK INPUT","CHECK INPUT",IF(G35="Y","Do not replace without sign-off",IF(L35&gt;=Settings!$B$1,"Replace / automate candidate",IF(L35&gt;=Settings!$B$2,"Review","Keep")))))</f>
        <v/>
      </c>
      <c r="N35">
        <f>IF(ISNUMBER(L35),RANK(L35,$L$2:$L$200)+COUNTIF($L$2:L35,L35)-1,"")</f>
        <v/>
      </c>
      <c r="O35">
        <f>IF(M35="Replace / automate candidate",N(C35),0)</f>
        <v/>
      </c>
    </row>
    <row r="36">
      <c r="L36">
        <f>IF(OR(H36="",I36="",J36="",K36=""),"",IF(J36+K36=0,"CHECK INPUT",H36*I36/(J36+K36)))</f>
        <v/>
      </c>
      <c r="M36">
        <f>IF(L36="","",IF(L36="CHECK INPUT","CHECK INPUT",IF(G36="Y","Do not replace without sign-off",IF(L36&gt;=Settings!$B$1,"Replace / automate candidate",IF(L36&gt;=Settings!$B$2,"Review","Keep")))))</f>
        <v/>
      </c>
      <c r="N36">
        <f>IF(ISNUMBER(L36),RANK(L36,$L$2:$L$200)+COUNTIF($L$2:L36,L36)-1,"")</f>
        <v/>
      </c>
      <c r="O36">
        <f>IF(M36="Replace / automate candidate",N(C36),0)</f>
        <v/>
      </c>
    </row>
    <row r="37">
      <c r="L37">
        <f>IF(OR(H37="",I37="",J37="",K37=""),"",IF(J37+K37=0,"CHECK INPUT",H37*I37/(J37+K37)))</f>
        <v/>
      </c>
      <c r="M37">
        <f>IF(L37="","",IF(L37="CHECK INPUT","CHECK INPUT",IF(G37="Y","Do not replace without sign-off",IF(L37&gt;=Settings!$B$1,"Replace / automate candidate",IF(L37&gt;=Settings!$B$2,"Review","Keep")))))</f>
        <v/>
      </c>
      <c r="N37">
        <f>IF(ISNUMBER(L37),RANK(L37,$L$2:$L$200)+COUNTIF($L$2:L37,L37)-1,"")</f>
        <v/>
      </c>
      <c r="O37">
        <f>IF(M37="Replace / automate candidate",N(C37),0)</f>
        <v/>
      </c>
    </row>
    <row r="38">
      <c r="L38">
        <f>IF(OR(H38="",I38="",J38="",K38=""),"",IF(J38+K38=0,"CHECK INPUT",H38*I38/(J38+K38)))</f>
        <v/>
      </c>
      <c r="M38">
        <f>IF(L38="","",IF(L38="CHECK INPUT","CHECK INPUT",IF(G38="Y","Do not replace without sign-off",IF(L38&gt;=Settings!$B$1,"Replace / automate candidate",IF(L38&gt;=Settings!$B$2,"Review","Keep")))))</f>
        <v/>
      </c>
      <c r="N38">
        <f>IF(ISNUMBER(L38),RANK(L38,$L$2:$L$200)+COUNTIF($L$2:L38,L38)-1,"")</f>
        <v/>
      </c>
      <c r="O38">
        <f>IF(M38="Replace / automate candidate",N(C38),0)</f>
        <v/>
      </c>
    </row>
    <row r="39">
      <c r="L39">
        <f>IF(OR(H39="",I39="",J39="",K39=""),"",IF(J39+K39=0,"CHECK INPUT",H39*I39/(J39+K39)))</f>
        <v/>
      </c>
      <c r="M39">
        <f>IF(L39="","",IF(L39="CHECK INPUT","CHECK INPUT",IF(G39="Y","Do not replace without sign-off",IF(L39&gt;=Settings!$B$1,"Replace / automate candidate",IF(L39&gt;=Settings!$B$2,"Review","Keep")))))</f>
        <v/>
      </c>
      <c r="N39">
        <f>IF(ISNUMBER(L39),RANK(L39,$L$2:$L$200)+COUNTIF($L$2:L39,L39)-1,"")</f>
        <v/>
      </c>
      <c r="O39">
        <f>IF(M39="Replace / automate candidate",N(C39),0)</f>
        <v/>
      </c>
    </row>
    <row r="40">
      <c r="L40">
        <f>IF(OR(H40="",I40="",J40="",K40=""),"",IF(J40+K40=0,"CHECK INPUT",H40*I40/(J40+K40)))</f>
        <v/>
      </c>
      <c r="M40">
        <f>IF(L40="","",IF(L40="CHECK INPUT","CHECK INPUT",IF(G40="Y","Do not replace without sign-off",IF(L40&gt;=Settings!$B$1,"Replace / automate candidate",IF(L40&gt;=Settings!$B$2,"Review","Keep")))))</f>
        <v/>
      </c>
      <c r="N40">
        <f>IF(ISNUMBER(L40),RANK(L40,$L$2:$L$200)+COUNTIF($L$2:L40,L40)-1,"")</f>
        <v/>
      </c>
      <c r="O40">
        <f>IF(M40="Replace / automate candidate",N(C40),0)</f>
        <v/>
      </c>
    </row>
    <row r="41">
      <c r="L41">
        <f>IF(OR(H41="",I41="",J41="",K41=""),"",IF(J41+K41=0,"CHECK INPUT",H41*I41/(J41+K41)))</f>
        <v/>
      </c>
      <c r="M41">
        <f>IF(L41="","",IF(L41="CHECK INPUT","CHECK INPUT",IF(G41="Y","Do not replace without sign-off",IF(L41&gt;=Settings!$B$1,"Replace / automate candidate",IF(L41&gt;=Settings!$B$2,"Review","Keep")))))</f>
        <v/>
      </c>
      <c r="N41">
        <f>IF(ISNUMBER(L41),RANK(L41,$L$2:$L$200)+COUNTIF($L$2:L41,L41)-1,"")</f>
        <v/>
      </c>
      <c r="O41">
        <f>IF(M41="Replace / automate candidate",N(C41),0)</f>
        <v/>
      </c>
    </row>
    <row r="42">
      <c r="L42">
        <f>IF(OR(H42="",I42="",J42="",K42=""),"",IF(J42+K42=0,"CHECK INPUT",H42*I42/(J42+K42)))</f>
        <v/>
      </c>
      <c r="M42">
        <f>IF(L42="","",IF(L42="CHECK INPUT","CHECK INPUT",IF(G42="Y","Do not replace without sign-off",IF(L42&gt;=Settings!$B$1,"Replace / automate candidate",IF(L42&gt;=Settings!$B$2,"Review","Keep")))))</f>
        <v/>
      </c>
      <c r="N42">
        <f>IF(ISNUMBER(L42),RANK(L42,$L$2:$L$200)+COUNTIF($L$2:L42,L42)-1,"")</f>
        <v/>
      </c>
      <c r="O42">
        <f>IF(M42="Replace / automate candidate",N(C42),0)</f>
        <v/>
      </c>
    </row>
    <row r="43">
      <c r="L43">
        <f>IF(OR(H43="",I43="",J43="",K43=""),"",IF(J43+K43=0,"CHECK INPUT",H43*I43/(J43+K43)))</f>
        <v/>
      </c>
      <c r="M43">
        <f>IF(L43="","",IF(L43="CHECK INPUT","CHECK INPUT",IF(G43="Y","Do not replace without sign-off",IF(L43&gt;=Settings!$B$1,"Replace / automate candidate",IF(L43&gt;=Settings!$B$2,"Review","Keep")))))</f>
        <v/>
      </c>
      <c r="N43">
        <f>IF(ISNUMBER(L43),RANK(L43,$L$2:$L$200)+COUNTIF($L$2:L43,L43)-1,"")</f>
        <v/>
      </c>
      <c r="O43">
        <f>IF(M43="Replace / automate candidate",N(C43),0)</f>
        <v/>
      </c>
    </row>
    <row r="44">
      <c r="L44">
        <f>IF(OR(H44="",I44="",J44="",K44=""),"",IF(J44+K44=0,"CHECK INPUT",H44*I44/(J44+K44)))</f>
        <v/>
      </c>
      <c r="M44">
        <f>IF(L44="","",IF(L44="CHECK INPUT","CHECK INPUT",IF(G44="Y","Do not replace without sign-off",IF(L44&gt;=Settings!$B$1,"Replace / automate candidate",IF(L44&gt;=Settings!$B$2,"Review","Keep")))))</f>
        <v/>
      </c>
      <c r="N44">
        <f>IF(ISNUMBER(L44),RANK(L44,$L$2:$L$200)+COUNTIF($L$2:L44,L44)-1,"")</f>
        <v/>
      </c>
      <c r="O44">
        <f>IF(M44="Replace / automate candidate",N(C44),0)</f>
        <v/>
      </c>
    </row>
    <row r="45">
      <c r="L45">
        <f>IF(OR(H45="",I45="",J45="",K45=""),"",IF(J45+K45=0,"CHECK INPUT",H45*I45/(J45+K45)))</f>
        <v/>
      </c>
      <c r="M45">
        <f>IF(L45="","",IF(L45="CHECK INPUT","CHECK INPUT",IF(G45="Y","Do not replace without sign-off",IF(L45&gt;=Settings!$B$1,"Replace / automate candidate",IF(L45&gt;=Settings!$B$2,"Review","Keep")))))</f>
        <v/>
      </c>
      <c r="N45">
        <f>IF(ISNUMBER(L45),RANK(L45,$L$2:$L$200)+COUNTIF($L$2:L45,L45)-1,"")</f>
        <v/>
      </c>
      <c r="O45">
        <f>IF(M45="Replace / automate candidate",N(C45),0)</f>
        <v/>
      </c>
    </row>
    <row r="46">
      <c r="L46">
        <f>IF(OR(H46="",I46="",J46="",K46=""),"",IF(J46+K46=0,"CHECK INPUT",H46*I46/(J46+K46)))</f>
        <v/>
      </c>
      <c r="M46">
        <f>IF(L46="","",IF(L46="CHECK INPUT","CHECK INPUT",IF(G46="Y","Do not replace without sign-off",IF(L46&gt;=Settings!$B$1,"Replace / automate candidate",IF(L46&gt;=Settings!$B$2,"Review","Keep")))))</f>
        <v/>
      </c>
      <c r="N46">
        <f>IF(ISNUMBER(L46),RANK(L46,$L$2:$L$200)+COUNTIF($L$2:L46,L46)-1,"")</f>
        <v/>
      </c>
      <c r="O46">
        <f>IF(M46="Replace / automate candidate",N(C46),0)</f>
        <v/>
      </c>
    </row>
    <row r="47">
      <c r="L47">
        <f>IF(OR(H47="",I47="",J47="",K47=""),"",IF(J47+K47=0,"CHECK INPUT",H47*I47/(J47+K47)))</f>
        <v/>
      </c>
      <c r="M47">
        <f>IF(L47="","",IF(L47="CHECK INPUT","CHECK INPUT",IF(G47="Y","Do not replace without sign-off",IF(L47&gt;=Settings!$B$1,"Replace / automate candidate",IF(L47&gt;=Settings!$B$2,"Review","Keep")))))</f>
        <v/>
      </c>
      <c r="N47">
        <f>IF(ISNUMBER(L47),RANK(L47,$L$2:$L$200)+COUNTIF($L$2:L47,L47)-1,"")</f>
        <v/>
      </c>
      <c r="O47">
        <f>IF(M47="Replace / automate candidate",N(C47),0)</f>
        <v/>
      </c>
    </row>
    <row r="48">
      <c r="L48">
        <f>IF(OR(H48="",I48="",J48="",K48=""),"",IF(J48+K48=0,"CHECK INPUT",H48*I48/(J48+K48)))</f>
        <v/>
      </c>
      <c r="M48">
        <f>IF(L48="","",IF(L48="CHECK INPUT","CHECK INPUT",IF(G48="Y","Do not replace without sign-off",IF(L48&gt;=Settings!$B$1,"Replace / automate candidate",IF(L48&gt;=Settings!$B$2,"Review","Keep")))))</f>
        <v/>
      </c>
      <c r="N48">
        <f>IF(ISNUMBER(L48),RANK(L48,$L$2:$L$200)+COUNTIF($L$2:L48,L48)-1,"")</f>
        <v/>
      </c>
      <c r="O48">
        <f>IF(M48="Replace / automate candidate",N(C48),0)</f>
        <v/>
      </c>
    </row>
    <row r="49">
      <c r="L49">
        <f>IF(OR(H49="",I49="",J49="",K49=""),"",IF(J49+K49=0,"CHECK INPUT",H49*I49/(J49+K49)))</f>
        <v/>
      </c>
      <c r="M49">
        <f>IF(L49="","",IF(L49="CHECK INPUT","CHECK INPUT",IF(G49="Y","Do not replace without sign-off",IF(L49&gt;=Settings!$B$1,"Replace / automate candidate",IF(L49&gt;=Settings!$B$2,"Review","Keep")))))</f>
        <v/>
      </c>
      <c r="N49">
        <f>IF(ISNUMBER(L49),RANK(L49,$L$2:$L$200)+COUNTIF($L$2:L49,L49)-1,"")</f>
        <v/>
      </c>
      <c r="O49">
        <f>IF(M49="Replace / automate candidate",N(C49),0)</f>
        <v/>
      </c>
    </row>
    <row r="50">
      <c r="L50">
        <f>IF(OR(H50="",I50="",J50="",K50=""),"",IF(J50+K50=0,"CHECK INPUT",H50*I50/(J50+K50)))</f>
        <v/>
      </c>
      <c r="M50">
        <f>IF(L50="","",IF(L50="CHECK INPUT","CHECK INPUT",IF(G50="Y","Do not replace without sign-off",IF(L50&gt;=Settings!$B$1,"Replace / automate candidate",IF(L50&gt;=Settings!$B$2,"Review","Keep")))))</f>
        <v/>
      </c>
      <c r="N50">
        <f>IF(ISNUMBER(L50),RANK(L50,$L$2:$L$200)+COUNTIF($L$2:L50,L50)-1,"")</f>
        <v/>
      </c>
      <c r="O50">
        <f>IF(M50="Replace / automate candidate",N(C50),0)</f>
        <v/>
      </c>
    </row>
    <row r="51">
      <c r="L51">
        <f>IF(OR(H51="",I51="",J51="",K51=""),"",IF(J51+K51=0,"CHECK INPUT",H51*I51/(J51+K51)))</f>
        <v/>
      </c>
      <c r="M51">
        <f>IF(L51="","",IF(L51="CHECK INPUT","CHECK INPUT",IF(G51="Y","Do not replace without sign-off",IF(L51&gt;=Settings!$B$1,"Replace / automate candidate",IF(L51&gt;=Settings!$B$2,"Review","Keep")))))</f>
        <v/>
      </c>
      <c r="N51">
        <f>IF(ISNUMBER(L51),RANK(L51,$L$2:$L$200)+COUNTIF($L$2:L51,L51)-1,"")</f>
        <v/>
      </c>
      <c r="O51">
        <f>IF(M51="Replace / automate candidate",N(C51),0)</f>
        <v/>
      </c>
    </row>
    <row r="52">
      <c r="L52">
        <f>IF(OR(H52="",I52="",J52="",K52=""),"",IF(J52+K52=0,"CHECK INPUT",H52*I52/(J52+K52)))</f>
        <v/>
      </c>
      <c r="M52">
        <f>IF(L52="","",IF(L52="CHECK INPUT","CHECK INPUT",IF(G52="Y","Do not replace without sign-off",IF(L52&gt;=Settings!$B$1,"Replace / automate candidate",IF(L52&gt;=Settings!$B$2,"Review","Keep")))))</f>
        <v/>
      </c>
      <c r="N52">
        <f>IF(ISNUMBER(L52),RANK(L52,$L$2:$L$200)+COUNTIF($L$2:L52,L52)-1,"")</f>
        <v/>
      </c>
      <c r="O52">
        <f>IF(M52="Replace / automate candidate",N(C52),0)</f>
        <v/>
      </c>
    </row>
    <row r="53">
      <c r="L53">
        <f>IF(OR(H53="",I53="",J53="",K53=""),"",IF(J53+K53=0,"CHECK INPUT",H53*I53/(J53+K53)))</f>
        <v/>
      </c>
      <c r="M53">
        <f>IF(L53="","",IF(L53="CHECK INPUT","CHECK INPUT",IF(G53="Y","Do not replace without sign-off",IF(L53&gt;=Settings!$B$1,"Replace / automate candidate",IF(L53&gt;=Settings!$B$2,"Review","Keep")))))</f>
        <v/>
      </c>
      <c r="N53">
        <f>IF(ISNUMBER(L53),RANK(L53,$L$2:$L$200)+COUNTIF($L$2:L53,L53)-1,"")</f>
        <v/>
      </c>
      <c r="O53">
        <f>IF(M53="Replace / automate candidate",N(C53),0)</f>
        <v/>
      </c>
    </row>
    <row r="54">
      <c r="L54">
        <f>IF(OR(H54="",I54="",J54="",K54=""),"",IF(J54+K54=0,"CHECK INPUT",H54*I54/(J54+K54)))</f>
        <v/>
      </c>
      <c r="M54">
        <f>IF(L54="","",IF(L54="CHECK INPUT","CHECK INPUT",IF(G54="Y","Do not replace without sign-off",IF(L54&gt;=Settings!$B$1,"Replace / automate candidate",IF(L54&gt;=Settings!$B$2,"Review","Keep")))))</f>
        <v/>
      </c>
      <c r="N54">
        <f>IF(ISNUMBER(L54),RANK(L54,$L$2:$L$200)+COUNTIF($L$2:L54,L54)-1,"")</f>
        <v/>
      </c>
      <c r="O54">
        <f>IF(M54="Replace / automate candidate",N(C54),0)</f>
        <v/>
      </c>
    </row>
    <row r="55">
      <c r="L55">
        <f>IF(OR(H55="",I55="",J55="",K55=""),"",IF(J55+K55=0,"CHECK INPUT",H55*I55/(J55+K55)))</f>
        <v/>
      </c>
      <c r="M55">
        <f>IF(L55="","",IF(L55="CHECK INPUT","CHECK INPUT",IF(G55="Y","Do not replace without sign-off",IF(L55&gt;=Settings!$B$1,"Replace / automate candidate",IF(L55&gt;=Settings!$B$2,"Review","Keep")))))</f>
        <v/>
      </c>
      <c r="N55">
        <f>IF(ISNUMBER(L55),RANK(L55,$L$2:$L$200)+COUNTIF($L$2:L55,L55)-1,"")</f>
        <v/>
      </c>
      <c r="O55">
        <f>IF(M55="Replace / automate candidate",N(C55),0)</f>
        <v/>
      </c>
    </row>
    <row r="56">
      <c r="L56">
        <f>IF(OR(H56="",I56="",J56="",K56=""),"",IF(J56+K56=0,"CHECK INPUT",H56*I56/(J56+K56)))</f>
        <v/>
      </c>
      <c r="M56">
        <f>IF(L56="","",IF(L56="CHECK INPUT","CHECK INPUT",IF(G56="Y","Do not replace without sign-off",IF(L56&gt;=Settings!$B$1,"Replace / automate candidate",IF(L56&gt;=Settings!$B$2,"Review","Keep")))))</f>
        <v/>
      </c>
      <c r="N56">
        <f>IF(ISNUMBER(L56),RANK(L56,$L$2:$L$200)+COUNTIF($L$2:L56,L56)-1,"")</f>
        <v/>
      </c>
      <c r="O56">
        <f>IF(M56="Replace / automate candidate",N(C56),0)</f>
        <v/>
      </c>
    </row>
    <row r="57">
      <c r="L57">
        <f>IF(OR(H57="",I57="",J57="",K57=""),"",IF(J57+K57=0,"CHECK INPUT",H57*I57/(J57+K57)))</f>
        <v/>
      </c>
      <c r="M57">
        <f>IF(L57="","",IF(L57="CHECK INPUT","CHECK INPUT",IF(G57="Y","Do not replace without sign-off",IF(L57&gt;=Settings!$B$1,"Replace / automate candidate",IF(L57&gt;=Settings!$B$2,"Review","Keep")))))</f>
        <v/>
      </c>
      <c r="N57">
        <f>IF(ISNUMBER(L57),RANK(L57,$L$2:$L$200)+COUNTIF($L$2:L57,L57)-1,"")</f>
        <v/>
      </c>
      <c r="O57">
        <f>IF(M57="Replace / automate candidate",N(C57),0)</f>
        <v/>
      </c>
    </row>
    <row r="58">
      <c r="L58">
        <f>IF(OR(H58="",I58="",J58="",K58=""),"",IF(J58+K58=0,"CHECK INPUT",H58*I58/(J58+K58)))</f>
        <v/>
      </c>
      <c r="M58">
        <f>IF(L58="","",IF(L58="CHECK INPUT","CHECK INPUT",IF(G58="Y","Do not replace without sign-off",IF(L58&gt;=Settings!$B$1,"Replace / automate candidate",IF(L58&gt;=Settings!$B$2,"Review","Keep")))))</f>
        <v/>
      </c>
      <c r="N58">
        <f>IF(ISNUMBER(L58),RANK(L58,$L$2:$L$200)+COUNTIF($L$2:L58,L58)-1,"")</f>
        <v/>
      </c>
      <c r="O58">
        <f>IF(M58="Replace / automate candidate",N(C58),0)</f>
        <v/>
      </c>
    </row>
    <row r="59">
      <c r="L59">
        <f>IF(OR(H59="",I59="",J59="",K59=""),"",IF(J59+K59=0,"CHECK INPUT",H59*I59/(J59+K59)))</f>
        <v/>
      </c>
      <c r="M59">
        <f>IF(L59="","",IF(L59="CHECK INPUT","CHECK INPUT",IF(G59="Y","Do not replace without sign-off",IF(L59&gt;=Settings!$B$1,"Replace / automate candidate",IF(L59&gt;=Settings!$B$2,"Review","Keep")))))</f>
        <v/>
      </c>
      <c r="N59">
        <f>IF(ISNUMBER(L59),RANK(L59,$L$2:$L$200)+COUNTIF($L$2:L59,L59)-1,"")</f>
        <v/>
      </c>
      <c r="O59">
        <f>IF(M59="Replace / automate candidate",N(C59),0)</f>
        <v/>
      </c>
    </row>
    <row r="60">
      <c r="L60">
        <f>IF(OR(H60="",I60="",J60="",K60=""),"",IF(J60+K60=0,"CHECK INPUT",H60*I60/(J60+K60)))</f>
        <v/>
      </c>
      <c r="M60">
        <f>IF(L60="","",IF(L60="CHECK INPUT","CHECK INPUT",IF(G60="Y","Do not replace without sign-off",IF(L60&gt;=Settings!$B$1,"Replace / automate candidate",IF(L60&gt;=Settings!$B$2,"Review","Keep")))))</f>
        <v/>
      </c>
      <c r="N60">
        <f>IF(ISNUMBER(L60),RANK(L60,$L$2:$L$200)+COUNTIF($L$2:L60,L60)-1,"")</f>
        <v/>
      </c>
      <c r="O60">
        <f>IF(M60="Replace / automate candidate",N(C60),0)</f>
        <v/>
      </c>
    </row>
    <row r="61">
      <c r="L61">
        <f>IF(OR(H61="",I61="",J61="",K61=""),"",IF(J61+K61=0,"CHECK INPUT",H61*I61/(J61+K61)))</f>
        <v/>
      </c>
      <c r="M61">
        <f>IF(L61="","",IF(L61="CHECK INPUT","CHECK INPUT",IF(G61="Y","Do not replace without sign-off",IF(L61&gt;=Settings!$B$1,"Replace / automate candidate",IF(L61&gt;=Settings!$B$2,"Review","Keep")))))</f>
        <v/>
      </c>
      <c r="N61">
        <f>IF(ISNUMBER(L61),RANK(L61,$L$2:$L$200)+COUNTIF($L$2:L61,L61)-1,"")</f>
        <v/>
      </c>
      <c r="O61">
        <f>IF(M61="Replace / automate candidate",N(C61),0)</f>
        <v/>
      </c>
    </row>
    <row r="62">
      <c r="L62">
        <f>IF(OR(H62="",I62="",J62="",K62=""),"",IF(J62+K62=0,"CHECK INPUT",H62*I62/(J62+K62)))</f>
        <v/>
      </c>
      <c r="M62">
        <f>IF(L62="","",IF(L62="CHECK INPUT","CHECK INPUT",IF(G62="Y","Do not replace without sign-off",IF(L62&gt;=Settings!$B$1,"Replace / automate candidate",IF(L62&gt;=Settings!$B$2,"Review","Keep")))))</f>
        <v/>
      </c>
      <c r="N62">
        <f>IF(ISNUMBER(L62),RANK(L62,$L$2:$L$200)+COUNTIF($L$2:L62,L62)-1,"")</f>
        <v/>
      </c>
      <c r="O62">
        <f>IF(M62="Replace / automate candidate",N(C62),0)</f>
        <v/>
      </c>
    </row>
    <row r="63">
      <c r="L63">
        <f>IF(OR(H63="",I63="",J63="",K63=""),"",IF(J63+K63=0,"CHECK INPUT",H63*I63/(J63+K63)))</f>
        <v/>
      </c>
      <c r="M63">
        <f>IF(L63="","",IF(L63="CHECK INPUT","CHECK INPUT",IF(G63="Y","Do not replace without sign-off",IF(L63&gt;=Settings!$B$1,"Replace / automate candidate",IF(L63&gt;=Settings!$B$2,"Review","Keep")))))</f>
        <v/>
      </c>
      <c r="N63">
        <f>IF(ISNUMBER(L63),RANK(L63,$L$2:$L$200)+COUNTIF($L$2:L63,L63)-1,"")</f>
        <v/>
      </c>
      <c r="O63">
        <f>IF(M63="Replace / automate candidate",N(C63),0)</f>
        <v/>
      </c>
    </row>
    <row r="64">
      <c r="L64">
        <f>IF(OR(H64="",I64="",J64="",K64=""),"",IF(J64+K64=0,"CHECK INPUT",H64*I64/(J64+K64)))</f>
        <v/>
      </c>
      <c r="M64">
        <f>IF(L64="","",IF(L64="CHECK INPUT","CHECK INPUT",IF(G64="Y","Do not replace without sign-off",IF(L64&gt;=Settings!$B$1,"Replace / automate candidate",IF(L64&gt;=Settings!$B$2,"Review","Keep")))))</f>
        <v/>
      </c>
      <c r="N64">
        <f>IF(ISNUMBER(L64),RANK(L64,$L$2:$L$200)+COUNTIF($L$2:L64,L64)-1,"")</f>
        <v/>
      </c>
      <c r="O64">
        <f>IF(M64="Replace / automate candidate",N(C64),0)</f>
        <v/>
      </c>
    </row>
    <row r="65">
      <c r="L65">
        <f>IF(OR(H65="",I65="",J65="",K65=""),"",IF(J65+K65=0,"CHECK INPUT",H65*I65/(J65+K65)))</f>
        <v/>
      </c>
      <c r="M65">
        <f>IF(L65="","",IF(L65="CHECK INPUT","CHECK INPUT",IF(G65="Y","Do not replace without sign-off",IF(L65&gt;=Settings!$B$1,"Replace / automate candidate",IF(L65&gt;=Settings!$B$2,"Review","Keep")))))</f>
        <v/>
      </c>
      <c r="N65">
        <f>IF(ISNUMBER(L65),RANK(L65,$L$2:$L$200)+COUNTIF($L$2:L65,L65)-1,"")</f>
        <v/>
      </c>
      <c r="O65">
        <f>IF(M65="Replace / automate candidate",N(C65),0)</f>
        <v/>
      </c>
    </row>
    <row r="66">
      <c r="L66">
        <f>IF(OR(H66="",I66="",J66="",K66=""),"",IF(J66+K66=0,"CHECK INPUT",H66*I66/(J66+K66)))</f>
        <v/>
      </c>
      <c r="M66">
        <f>IF(L66="","",IF(L66="CHECK INPUT","CHECK INPUT",IF(G66="Y","Do not replace without sign-off",IF(L66&gt;=Settings!$B$1,"Replace / automate candidate",IF(L66&gt;=Settings!$B$2,"Review","Keep")))))</f>
        <v/>
      </c>
      <c r="N66">
        <f>IF(ISNUMBER(L66),RANK(L66,$L$2:$L$200)+COUNTIF($L$2:L66,L66)-1,"")</f>
        <v/>
      </c>
      <c r="O66">
        <f>IF(M66="Replace / automate candidate",N(C66),0)</f>
        <v/>
      </c>
    </row>
    <row r="67">
      <c r="L67">
        <f>IF(OR(H67="",I67="",J67="",K67=""),"",IF(J67+K67=0,"CHECK INPUT",H67*I67/(J67+K67)))</f>
        <v/>
      </c>
      <c r="M67">
        <f>IF(L67="","",IF(L67="CHECK INPUT","CHECK INPUT",IF(G67="Y","Do not replace without sign-off",IF(L67&gt;=Settings!$B$1,"Replace / automate candidate",IF(L67&gt;=Settings!$B$2,"Review","Keep")))))</f>
        <v/>
      </c>
      <c r="N67">
        <f>IF(ISNUMBER(L67),RANK(L67,$L$2:$L$200)+COUNTIF($L$2:L67,L67)-1,"")</f>
        <v/>
      </c>
      <c r="O67">
        <f>IF(M67="Replace / automate candidate",N(C67),0)</f>
        <v/>
      </c>
    </row>
    <row r="68">
      <c r="L68">
        <f>IF(OR(H68="",I68="",J68="",K68=""),"",IF(J68+K68=0,"CHECK INPUT",H68*I68/(J68+K68)))</f>
        <v/>
      </c>
      <c r="M68">
        <f>IF(L68="","",IF(L68="CHECK INPUT","CHECK INPUT",IF(G68="Y","Do not replace without sign-off",IF(L68&gt;=Settings!$B$1,"Replace / automate candidate",IF(L68&gt;=Settings!$B$2,"Review","Keep")))))</f>
        <v/>
      </c>
      <c r="N68">
        <f>IF(ISNUMBER(L68),RANK(L68,$L$2:$L$200)+COUNTIF($L$2:L68,L68)-1,"")</f>
        <v/>
      </c>
      <c r="O68">
        <f>IF(M68="Replace / automate candidate",N(C68),0)</f>
        <v/>
      </c>
    </row>
    <row r="69">
      <c r="L69">
        <f>IF(OR(H69="",I69="",J69="",K69=""),"",IF(J69+K69=0,"CHECK INPUT",H69*I69/(J69+K69)))</f>
        <v/>
      </c>
      <c r="M69">
        <f>IF(L69="","",IF(L69="CHECK INPUT","CHECK INPUT",IF(G69="Y","Do not replace without sign-off",IF(L69&gt;=Settings!$B$1,"Replace / automate candidate",IF(L69&gt;=Settings!$B$2,"Review","Keep")))))</f>
        <v/>
      </c>
      <c r="N69">
        <f>IF(ISNUMBER(L69),RANK(L69,$L$2:$L$200)+COUNTIF($L$2:L69,L69)-1,"")</f>
        <v/>
      </c>
      <c r="O69">
        <f>IF(M69="Replace / automate candidate",N(C69),0)</f>
        <v/>
      </c>
    </row>
    <row r="70">
      <c r="L70">
        <f>IF(OR(H70="",I70="",J70="",K70=""),"",IF(J70+K70=0,"CHECK INPUT",H70*I70/(J70+K70)))</f>
        <v/>
      </c>
      <c r="M70">
        <f>IF(L70="","",IF(L70="CHECK INPUT","CHECK INPUT",IF(G70="Y","Do not replace without sign-off",IF(L70&gt;=Settings!$B$1,"Replace / automate candidate",IF(L70&gt;=Settings!$B$2,"Review","Keep")))))</f>
        <v/>
      </c>
      <c r="N70">
        <f>IF(ISNUMBER(L70),RANK(L70,$L$2:$L$200)+COUNTIF($L$2:L70,L70)-1,"")</f>
        <v/>
      </c>
      <c r="O70">
        <f>IF(M70="Replace / automate candidate",N(C70),0)</f>
        <v/>
      </c>
    </row>
    <row r="71">
      <c r="L71">
        <f>IF(OR(H71="",I71="",J71="",K71=""),"",IF(J71+K71=0,"CHECK INPUT",H71*I71/(J71+K71)))</f>
        <v/>
      </c>
      <c r="M71">
        <f>IF(L71="","",IF(L71="CHECK INPUT","CHECK INPUT",IF(G71="Y","Do not replace without sign-off",IF(L71&gt;=Settings!$B$1,"Replace / automate candidate",IF(L71&gt;=Settings!$B$2,"Review","Keep")))))</f>
        <v/>
      </c>
      <c r="N71">
        <f>IF(ISNUMBER(L71),RANK(L71,$L$2:$L$200)+COUNTIF($L$2:L71,L71)-1,"")</f>
        <v/>
      </c>
      <c r="O71">
        <f>IF(M71="Replace / automate candidate",N(C71),0)</f>
        <v/>
      </c>
    </row>
    <row r="72">
      <c r="L72">
        <f>IF(OR(H72="",I72="",J72="",K72=""),"",IF(J72+K72=0,"CHECK INPUT",H72*I72/(J72+K72)))</f>
        <v/>
      </c>
      <c r="M72">
        <f>IF(L72="","",IF(L72="CHECK INPUT","CHECK INPUT",IF(G72="Y","Do not replace without sign-off",IF(L72&gt;=Settings!$B$1,"Replace / automate candidate",IF(L72&gt;=Settings!$B$2,"Review","Keep")))))</f>
        <v/>
      </c>
      <c r="N72">
        <f>IF(ISNUMBER(L72),RANK(L72,$L$2:$L$200)+COUNTIF($L$2:L72,L72)-1,"")</f>
        <v/>
      </c>
      <c r="O72">
        <f>IF(M72="Replace / automate candidate",N(C72),0)</f>
        <v/>
      </c>
    </row>
    <row r="73">
      <c r="L73">
        <f>IF(OR(H73="",I73="",J73="",K73=""),"",IF(J73+K73=0,"CHECK INPUT",H73*I73/(J73+K73)))</f>
        <v/>
      </c>
      <c r="M73">
        <f>IF(L73="","",IF(L73="CHECK INPUT","CHECK INPUT",IF(G73="Y","Do not replace without sign-off",IF(L73&gt;=Settings!$B$1,"Replace / automate candidate",IF(L73&gt;=Settings!$B$2,"Review","Keep")))))</f>
        <v/>
      </c>
      <c r="N73">
        <f>IF(ISNUMBER(L73),RANK(L73,$L$2:$L$200)+COUNTIF($L$2:L73,L73)-1,"")</f>
        <v/>
      </c>
      <c r="O73">
        <f>IF(M73="Replace / automate candidate",N(C73),0)</f>
        <v/>
      </c>
    </row>
    <row r="74">
      <c r="L74">
        <f>IF(OR(H74="",I74="",J74="",K74=""),"",IF(J74+K74=0,"CHECK INPUT",H74*I74/(J74+K74)))</f>
        <v/>
      </c>
      <c r="M74">
        <f>IF(L74="","",IF(L74="CHECK INPUT","CHECK INPUT",IF(G74="Y","Do not replace without sign-off",IF(L74&gt;=Settings!$B$1,"Replace / automate candidate",IF(L74&gt;=Settings!$B$2,"Review","Keep")))))</f>
        <v/>
      </c>
      <c r="N74">
        <f>IF(ISNUMBER(L74),RANK(L74,$L$2:$L$200)+COUNTIF($L$2:L74,L74)-1,"")</f>
        <v/>
      </c>
      <c r="O74">
        <f>IF(M74="Replace / automate candidate",N(C74),0)</f>
        <v/>
      </c>
    </row>
    <row r="75">
      <c r="L75">
        <f>IF(OR(H75="",I75="",J75="",K75=""),"",IF(J75+K75=0,"CHECK INPUT",H75*I75/(J75+K75)))</f>
        <v/>
      </c>
      <c r="M75">
        <f>IF(L75="","",IF(L75="CHECK INPUT","CHECK INPUT",IF(G75="Y","Do not replace without sign-off",IF(L75&gt;=Settings!$B$1,"Replace / automate candidate",IF(L75&gt;=Settings!$B$2,"Review","Keep")))))</f>
        <v/>
      </c>
      <c r="N75">
        <f>IF(ISNUMBER(L75),RANK(L75,$L$2:$L$200)+COUNTIF($L$2:L75,L75)-1,"")</f>
        <v/>
      </c>
      <c r="O75">
        <f>IF(M75="Replace / automate candidate",N(C75),0)</f>
        <v/>
      </c>
    </row>
    <row r="76">
      <c r="L76">
        <f>IF(OR(H76="",I76="",J76="",K76=""),"",IF(J76+K76=0,"CHECK INPUT",H76*I76/(J76+K76)))</f>
        <v/>
      </c>
      <c r="M76">
        <f>IF(L76="","",IF(L76="CHECK INPUT","CHECK INPUT",IF(G76="Y","Do not replace without sign-off",IF(L76&gt;=Settings!$B$1,"Replace / automate candidate",IF(L76&gt;=Settings!$B$2,"Review","Keep")))))</f>
        <v/>
      </c>
      <c r="N76">
        <f>IF(ISNUMBER(L76),RANK(L76,$L$2:$L$200)+COUNTIF($L$2:L76,L76)-1,"")</f>
        <v/>
      </c>
      <c r="O76">
        <f>IF(M76="Replace / automate candidate",N(C76),0)</f>
        <v/>
      </c>
    </row>
    <row r="77">
      <c r="L77">
        <f>IF(OR(H77="",I77="",J77="",K77=""),"",IF(J77+K77=0,"CHECK INPUT",H77*I77/(J77+K77)))</f>
        <v/>
      </c>
      <c r="M77">
        <f>IF(L77="","",IF(L77="CHECK INPUT","CHECK INPUT",IF(G77="Y","Do not replace without sign-off",IF(L77&gt;=Settings!$B$1,"Replace / automate candidate",IF(L77&gt;=Settings!$B$2,"Review","Keep")))))</f>
        <v/>
      </c>
      <c r="N77">
        <f>IF(ISNUMBER(L77),RANK(L77,$L$2:$L$200)+COUNTIF($L$2:L77,L77)-1,"")</f>
        <v/>
      </c>
      <c r="O77">
        <f>IF(M77="Replace / automate candidate",N(C77),0)</f>
        <v/>
      </c>
    </row>
    <row r="78">
      <c r="L78">
        <f>IF(OR(H78="",I78="",J78="",K78=""),"",IF(J78+K78=0,"CHECK INPUT",H78*I78/(J78+K78)))</f>
        <v/>
      </c>
      <c r="M78">
        <f>IF(L78="","",IF(L78="CHECK INPUT","CHECK INPUT",IF(G78="Y","Do not replace without sign-off",IF(L78&gt;=Settings!$B$1,"Replace / automate candidate",IF(L78&gt;=Settings!$B$2,"Review","Keep")))))</f>
        <v/>
      </c>
      <c r="N78">
        <f>IF(ISNUMBER(L78),RANK(L78,$L$2:$L$200)+COUNTIF($L$2:L78,L78)-1,"")</f>
        <v/>
      </c>
      <c r="O78">
        <f>IF(M78="Replace / automate candidate",N(C78),0)</f>
        <v/>
      </c>
    </row>
    <row r="79">
      <c r="L79">
        <f>IF(OR(H79="",I79="",J79="",K79=""),"",IF(J79+K79=0,"CHECK INPUT",H79*I79/(J79+K79)))</f>
        <v/>
      </c>
      <c r="M79">
        <f>IF(L79="","",IF(L79="CHECK INPUT","CHECK INPUT",IF(G79="Y","Do not replace without sign-off",IF(L79&gt;=Settings!$B$1,"Replace / automate candidate",IF(L79&gt;=Settings!$B$2,"Review","Keep")))))</f>
        <v/>
      </c>
      <c r="N79">
        <f>IF(ISNUMBER(L79),RANK(L79,$L$2:$L$200)+COUNTIF($L$2:L79,L79)-1,"")</f>
        <v/>
      </c>
      <c r="O79">
        <f>IF(M79="Replace / automate candidate",N(C79),0)</f>
        <v/>
      </c>
    </row>
    <row r="80">
      <c r="L80">
        <f>IF(OR(H80="",I80="",J80="",K80=""),"",IF(J80+K80=0,"CHECK INPUT",H80*I80/(J80+K80)))</f>
        <v/>
      </c>
      <c r="M80">
        <f>IF(L80="","",IF(L80="CHECK INPUT","CHECK INPUT",IF(G80="Y","Do not replace without sign-off",IF(L80&gt;=Settings!$B$1,"Replace / automate candidate",IF(L80&gt;=Settings!$B$2,"Review","Keep")))))</f>
        <v/>
      </c>
      <c r="N80">
        <f>IF(ISNUMBER(L80),RANK(L80,$L$2:$L$200)+COUNTIF($L$2:L80,L80)-1,"")</f>
        <v/>
      </c>
      <c r="O80">
        <f>IF(M80="Replace / automate candidate",N(C80),0)</f>
        <v/>
      </c>
    </row>
    <row r="81">
      <c r="L81">
        <f>IF(OR(H81="",I81="",J81="",K81=""),"",IF(J81+K81=0,"CHECK INPUT",H81*I81/(J81+K81)))</f>
        <v/>
      </c>
      <c r="M81">
        <f>IF(L81="","",IF(L81="CHECK INPUT","CHECK INPUT",IF(G81="Y","Do not replace without sign-off",IF(L81&gt;=Settings!$B$1,"Replace / automate candidate",IF(L81&gt;=Settings!$B$2,"Review","Keep")))))</f>
        <v/>
      </c>
      <c r="N81">
        <f>IF(ISNUMBER(L81),RANK(L81,$L$2:$L$200)+COUNTIF($L$2:L81,L81)-1,"")</f>
        <v/>
      </c>
      <c r="O81">
        <f>IF(M81="Replace / automate candidate",N(C81),0)</f>
        <v/>
      </c>
    </row>
    <row r="82">
      <c r="L82">
        <f>IF(OR(H82="",I82="",J82="",K82=""),"",IF(J82+K82=0,"CHECK INPUT",H82*I82/(J82+K82)))</f>
        <v/>
      </c>
      <c r="M82">
        <f>IF(L82="","",IF(L82="CHECK INPUT","CHECK INPUT",IF(G82="Y","Do not replace without sign-off",IF(L82&gt;=Settings!$B$1,"Replace / automate candidate",IF(L82&gt;=Settings!$B$2,"Review","Keep")))))</f>
        <v/>
      </c>
      <c r="N82">
        <f>IF(ISNUMBER(L82),RANK(L82,$L$2:$L$200)+COUNTIF($L$2:L82,L82)-1,"")</f>
        <v/>
      </c>
      <c r="O82">
        <f>IF(M82="Replace / automate candidate",N(C82),0)</f>
        <v/>
      </c>
    </row>
    <row r="83">
      <c r="L83">
        <f>IF(OR(H83="",I83="",J83="",K83=""),"",IF(J83+K83=0,"CHECK INPUT",H83*I83/(J83+K83)))</f>
        <v/>
      </c>
      <c r="M83">
        <f>IF(L83="","",IF(L83="CHECK INPUT","CHECK INPUT",IF(G83="Y","Do not replace without sign-off",IF(L83&gt;=Settings!$B$1,"Replace / automate candidate",IF(L83&gt;=Settings!$B$2,"Review","Keep")))))</f>
        <v/>
      </c>
      <c r="N83">
        <f>IF(ISNUMBER(L83),RANK(L83,$L$2:$L$200)+COUNTIF($L$2:L83,L83)-1,"")</f>
        <v/>
      </c>
      <c r="O83">
        <f>IF(M83="Replace / automate candidate",N(C83),0)</f>
        <v/>
      </c>
    </row>
    <row r="84">
      <c r="L84">
        <f>IF(OR(H84="",I84="",J84="",K84=""),"",IF(J84+K84=0,"CHECK INPUT",H84*I84/(J84+K84)))</f>
        <v/>
      </c>
      <c r="M84">
        <f>IF(L84="","",IF(L84="CHECK INPUT","CHECK INPUT",IF(G84="Y","Do not replace without sign-off",IF(L84&gt;=Settings!$B$1,"Replace / automate candidate",IF(L84&gt;=Settings!$B$2,"Review","Keep")))))</f>
        <v/>
      </c>
      <c r="N84">
        <f>IF(ISNUMBER(L84),RANK(L84,$L$2:$L$200)+COUNTIF($L$2:L84,L84)-1,"")</f>
        <v/>
      </c>
      <c r="O84">
        <f>IF(M84="Replace / automate candidate",N(C84),0)</f>
        <v/>
      </c>
    </row>
    <row r="85">
      <c r="L85">
        <f>IF(OR(H85="",I85="",J85="",K85=""),"",IF(J85+K85=0,"CHECK INPUT",H85*I85/(J85+K85)))</f>
        <v/>
      </c>
      <c r="M85">
        <f>IF(L85="","",IF(L85="CHECK INPUT","CHECK INPUT",IF(G85="Y","Do not replace without sign-off",IF(L85&gt;=Settings!$B$1,"Replace / automate candidate",IF(L85&gt;=Settings!$B$2,"Review","Keep")))))</f>
        <v/>
      </c>
      <c r="N85">
        <f>IF(ISNUMBER(L85),RANK(L85,$L$2:$L$200)+COUNTIF($L$2:L85,L85)-1,"")</f>
        <v/>
      </c>
      <c r="O85">
        <f>IF(M85="Replace / automate candidate",N(C85),0)</f>
        <v/>
      </c>
    </row>
    <row r="86">
      <c r="L86">
        <f>IF(OR(H86="",I86="",J86="",K86=""),"",IF(J86+K86=0,"CHECK INPUT",H86*I86/(J86+K86)))</f>
        <v/>
      </c>
      <c r="M86">
        <f>IF(L86="","",IF(L86="CHECK INPUT","CHECK INPUT",IF(G86="Y","Do not replace without sign-off",IF(L86&gt;=Settings!$B$1,"Replace / automate candidate",IF(L86&gt;=Settings!$B$2,"Review","Keep")))))</f>
        <v/>
      </c>
      <c r="N86">
        <f>IF(ISNUMBER(L86),RANK(L86,$L$2:$L$200)+COUNTIF($L$2:L86,L86)-1,"")</f>
        <v/>
      </c>
      <c r="O86">
        <f>IF(M86="Replace / automate candidate",N(C86),0)</f>
        <v/>
      </c>
    </row>
    <row r="87">
      <c r="L87">
        <f>IF(OR(H87="",I87="",J87="",K87=""),"",IF(J87+K87=0,"CHECK INPUT",H87*I87/(J87+K87)))</f>
        <v/>
      </c>
      <c r="M87">
        <f>IF(L87="","",IF(L87="CHECK INPUT","CHECK INPUT",IF(G87="Y","Do not replace without sign-off",IF(L87&gt;=Settings!$B$1,"Replace / automate candidate",IF(L87&gt;=Settings!$B$2,"Review","Keep")))))</f>
        <v/>
      </c>
      <c r="N87">
        <f>IF(ISNUMBER(L87),RANK(L87,$L$2:$L$200)+COUNTIF($L$2:L87,L87)-1,"")</f>
        <v/>
      </c>
      <c r="O87">
        <f>IF(M87="Replace / automate candidate",N(C87),0)</f>
        <v/>
      </c>
    </row>
    <row r="88">
      <c r="L88">
        <f>IF(OR(H88="",I88="",J88="",K88=""),"",IF(J88+K88=0,"CHECK INPUT",H88*I88/(J88+K88)))</f>
        <v/>
      </c>
      <c r="M88">
        <f>IF(L88="","",IF(L88="CHECK INPUT","CHECK INPUT",IF(G88="Y","Do not replace without sign-off",IF(L88&gt;=Settings!$B$1,"Replace / automate candidate",IF(L88&gt;=Settings!$B$2,"Review","Keep")))))</f>
        <v/>
      </c>
      <c r="N88">
        <f>IF(ISNUMBER(L88),RANK(L88,$L$2:$L$200)+COUNTIF($L$2:L88,L88)-1,"")</f>
        <v/>
      </c>
      <c r="O88">
        <f>IF(M88="Replace / automate candidate",N(C88),0)</f>
        <v/>
      </c>
    </row>
    <row r="89">
      <c r="L89">
        <f>IF(OR(H89="",I89="",J89="",K89=""),"",IF(J89+K89=0,"CHECK INPUT",H89*I89/(J89+K89)))</f>
        <v/>
      </c>
      <c r="M89">
        <f>IF(L89="","",IF(L89="CHECK INPUT","CHECK INPUT",IF(G89="Y","Do not replace without sign-off",IF(L89&gt;=Settings!$B$1,"Replace / automate candidate",IF(L89&gt;=Settings!$B$2,"Review","Keep")))))</f>
        <v/>
      </c>
      <c r="N89">
        <f>IF(ISNUMBER(L89),RANK(L89,$L$2:$L$200)+COUNTIF($L$2:L89,L89)-1,"")</f>
        <v/>
      </c>
      <c r="O89">
        <f>IF(M89="Replace / automate candidate",N(C89),0)</f>
        <v/>
      </c>
    </row>
    <row r="90">
      <c r="L90">
        <f>IF(OR(H90="",I90="",J90="",K90=""),"",IF(J90+K90=0,"CHECK INPUT",H90*I90/(J90+K90)))</f>
        <v/>
      </c>
      <c r="M90">
        <f>IF(L90="","",IF(L90="CHECK INPUT","CHECK INPUT",IF(G90="Y","Do not replace without sign-off",IF(L90&gt;=Settings!$B$1,"Replace / automate candidate",IF(L90&gt;=Settings!$B$2,"Review","Keep")))))</f>
        <v/>
      </c>
      <c r="N90">
        <f>IF(ISNUMBER(L90),RANK(L90,$L$2:$L$200)+COUNTIF($L$2:L90,L90)-1,"")</f>
        <v/>
      </c>
      <c r="O90">
        <f>IF(M90="Replace / automate candidate",N(C90),0)</f>
        <v/>
      </c>
    </row>
    <row r="91">
      <c r="L91">
        <f>IF(OR(H91="",I91="",J91="",K91=""),"",IF(J91+K91=0,"CHECK INPUT",H91*I91/(J91+K91)))</f>
        <v/>
      </c>
      <c r="M91">
        <f>IF(L91="","",IF(L91="CHECK INPUT","CHECK INPUT",IF(G91="Y","Do not replace without sign-off",IF(L91&gt;=Settings!$B$1,"Replace / automate candidate",IF(L91&gt;=Settings!$B$2,"Review","Keep")))))</f>
        <v/>
      </c>
      <c r="N91">
        <f>IF(ISNUMBER(L91),RANK(L91,$L$2:$L$200)+COUNTIF($L$2:L91,L91)-1,"")</f>
        <v/>
      </c>
      <c r="O91">
        <f>IF(M91="Replace / automate candidate",N(C91),0)</f>
        <v/>
      </c>
    </row>
    <row r="92">
      <c r="L92">
        <f>IF(OR(H92="",I92="",J92="",K92=""),"",IF(J92+K92=0,"CHECK INPUT",H92*I92/(J92+K92)))</f>
        <v/>
      </c>
      <c r="M92">
        <f>IF(L92="","",IF(L92="CHECK INPUT","CHECK INPUT",IF(G92="Y","Do not replace without sign-off",IF(L92&gt;=Settings!$B$1,"Replace / automate candidate",IF(L92&gt;=Settings!$B$2,"Review","Keep")))))</f>
        <v/>
      </c>
      <c r="N92">
        <f>IF(ISNUMBER(L92),RANK(L92,$L$2:$L$200)+COUNTIF($L$2:L92,L92)-1,"")</f>
        <v/>
      </c>
      <c r="O92">
        <f>IF(M92="Replace / automate candidate",N(C92),0)</f>
        <v/>
      </c>
    </row>
    <row r="93">
      <c r="L93">
        <f>IF(OR(H93="",I93="",J93="",K93=""),"",IF(J93+K93=0,"CHECK INPUT",H93*I93/(J93+K93)))</f>
        <v/>
      </c>
      <c r="M93">
        <f>IF(L93="","",IF(L93="CHECK INPUT","CHECK INPUT",IF(G93="Y","Do not replace without sign-off",IF(L93&gt;=Settings!$B$1,"Replace / automate candidate",IF(L93&gt;=Settings!$B$2,"Review","Keep")))))</f>
        <v/>
      </c>
      <c r="N93">
        <f>IF(ISNUMBER(L93),RANK(L93,$L$2:$L$200)+COUNTIF($L$2:L93,L93)-1,"")</f>
        <v/>
      </c>
      <c r="O93">
        <f>IF(M93="Replace / automate candidate",N(C93),0)</f>
        <v/>
      </c>
    </row>
    <row r="94">
      <c r="L94">
        <f>IF(OR(H94="",I94="",J94="",K94=""),"",IF(J94+K94=0,"CHECK INPUT",H94*I94/(J94+K94)))</f>
        <v/>
      </c>
      <c r="M94">
        <f>IF(L94="","",IF(L94="CHECK INPUT","CHECK INPUT",IF(G94="Y","Do not replace without sign-off",IF(L94&gt;=Settings!$B$1,"Replace / automate candidate",IF(L94&gt;=Settings!$B$2,"Review","Keep")))))</f>
        <v/>
      </c>
      <c r="N94">
        <f>IF(ISNUMBER(L94),RANK(L94,$L$2:$L$200)+COUNTIF($L$2:L94,L94)-1,"")</f>
        <v/>
      </c>
      <c r="O94">
        <f>IF(M94="Replace / automate candidate",N(C94),0)</f>
        <v/>
      </c>
    </row>
    <row r="95">
      <c r="L95">
        <f>IF(OR(H95="",I95="",J95="",K95=""),"",IF(J95+K95=0,"CHECK INPUT",H95*I95/(J95+K95)))</f>
        <v/>
      </c>
      <c r="M95">
        <f>IF(L95="","",IF(L95="CHECK INPUT","CHECK INPUT",IF(G95="Y","Do not replace without sign-off",IF(L95&gt;=Settings!$B$1,"Replace / automate candidate",IF(L95&gt;=Settings!$B$2,"Review","Keep")))))</f>
        <v/>
      </c>
      <c r="N95">
        <f>IF(ISNUMBER(L95),RANK(L95,$L$2:$L$200)+COUNTIF($L$2:L95,L95)-1,"")</f>
        <v/>
      </c>
      <c r="O95">
        <f>IF(M95="Replace / automate candidate",N(C95),0)</f>
        <v/>
      </c>
    </row>
    <row r="96">
      <c r="L96">
        <f>IF(OR(H96="",I96="",J96="",K96=""),"",IF(J96+K96=0,"CHECK INPUT",H96*I96/(J96+K96)))</f>
        <v/>
      </c>
      <c r="M96">
        <f>IF(L96="","",IF(L96="CHECK INPUT","CHECK INPUT",IF(G96="Y","Do not replace without sign-off",IF(L96&gt;=Settings!$B$1,"Replace / automate candidate",IF(L96&gt;=Settings!$B$2,"Review","Keep")))))</f>
        <v/>
      </c>
      <c r="N96">
        <f>IF(ISNUMBER(L96),RANK(L96,$L$2:$L$200)+COUNTIF($L$2:L96,L96)-1,"")</f>
        <v/>
      </c>
      <c r="O96">
        <f>IF(M96="Replace / automate candidate",N(C96),0)</f>
        <v/>
      </c>
    </row>
    <row r="97">
      <c r="L97">
        <f>IF(OR(H97="",I97="",J97="",K97=""),"",IF(J97+K97=0,"CHECK INPUT",H97*I97/(J97+K97)))</f>
        <v/>
      </c>
      <c r="M97">
        <f>IF(L97="","",IF(L97="CHECK INPUT","CHECK INPUT",IF(G97="Y","Do not replace without sign-off",IF(L97&gt;=Settings!$B$1,"Replace / automate candidate",IF(L97&gt;=Settings!$B$2,"Review","Keep")))))</f>
        <v/>
      </c>
      <c r="N97">
        <f>IF(ISNUMBER(L97),RANK(L97,$L$2:$L$200)+COUNTIF($L$2:L97,L97)-1,"")</f>
        <v/>
      </c>
      <c r="O97">
        <f>IF(M97="Replace / automate candidate",N(C97),0)</f>
        <v/>
      </c>
    </row>
    <row r="98">
      <c r="L98">
        <f>IF(OR(H98="",I98="",J98="",K98=""),"",IF(J98+K98=0,"CHECK INPUT",H98*I98/(J98+K98)))</f>
        <v/>
      </c>
      <c r="M98">
        <f>IF(L98="","",IF(L98="CHECK INPUT","CHECK INPUT",IF(G98="Y","Do not replace without sign-off",IF(L98&gt;=Settings!$B$1,"Replace / automate candidate",IF(L98&gt;=Settings!$B$2,"Review","Keep")))))</f>
        <v/>
      </c>
      <c r="N98">
        <f>IF(ISNUMBER(L98),RANK(L98,$L$2:$L$200)+COUNTIF($L$2:L98,L98)-1,"")</f>
        <v/>
      </c>
      <c r="O98">
        <f>IF(M98="Replace / automate candidate",N(C98),0)</f>
        <v/>
      </c>
    </row>
    <row r="99">
      <c r="L99">
        <f>IF(OR(H99="",I99="",J99="",K99=""),"",IF(J99+K99=0,"CHECK INPUT",H99*I99/(J99+K99)))</f>
        <v/>
      </c>
      <c r="M99">
        <f>IF(L99="","",IF(L99="CHECK INPUT","CHECK INPUT",IF(G99="Y","Do not replace without sign-off",IF(L99&gt;=Settings!$B$1,"Replace / automate candidate",IF(L99&gt;=Settings!$B$2,"Review","Keep")))))</f>
        <v/>
      </c>
      <c r="N99">
        <f>IF(ISNUMBER(L99),RANK(L99,$L$2:$L$200)+COUNTIF($L$2:L99,L99)-1,"")</f>
        <v/>
      </c>
      <c r="O99">
        <f>IF(M99="Replace / automate candidate",N(C99),0)</f>
        <v/>
      </c>
    </row>
    <row r="100">
      <c r="L100">
        <f>IF(OR(H100="",I100="",J100="",K100=""),"",IF(J100+K100=0,"CHECK INPUT",H100*I100/(J100+K100)))</f>
        <v/>
      </c>
      <c r="M100">
        <f>IF(L100="","",IF(L100="CHECK INPUT","CHECK INPUT",IF(G100="Y","Do not replace without sign-off",IF(L100&gt;=Settings!$B$1,"Replace / automate candidate",IF(L100&gt;=Settings!$B$2,"Review","Keep")))))</f>
        <v/>
      </c>
      <c r="N100">
        <f>IF(ISNUMBER(L100),RANK(L100,$L$2:$L$200)+COUNTIF($L$2:L100,L100)-1,"")</f>
        <v/>
      </c>
      <c r="O100">
        <f>IF(M100="Replace / automate candidate",N(C100),0)</f>
        <v/>
      </c>
    </row>
    <row r="101">
      <c r="L101">
        <f>IF(OR(H101="",I101="",J101="",K101=""),"",IF(J101+K101=0,"CHECK INPUT",H101*I101/(J101+K101)))</f>
        <v/>
      </c>
      <c r="M101">
        <f>IF(L101="","",IF(L101="CHECK INPUT","CHECK INPUT",IF(G101="Y","Do not replace without sign-off",IF(L101&gt;=Settings!$B$1,"Replace / automate candidate",IF(L101&gt;=Settings!$B$2,"Review","Keep")))))</f>
        <v/>
      </c>
      <c r="N101">
        <f>IF(ISNUMBER(L101),RANK(L101,$L$2:$L$200)+COUNTIF($L$2:L101,L101)-1,"")</f>
        <v/>
      </c>
      <c r="O101">
        <f>IF(M101="Replace / automate candidate",N(C101),0)</f>
        <v/>
      </c>
    </row>
    <row r="102">
      <c r="L102">
        <f>IF(OR(H102="",I102="",J102="",K102=""),"",IF(J102+K102=0,"CHECK INPUT",H102*I102/(J102+K102)))</f>
        <v/>
      </c>
      <c r="M102">
        <f>IF(L102="","",IF(L102="CHECK INPUT","CHECK INPUT",IF(G102="Y","Do not replace without sign-off",IF(L102&gt;=Settings!$B$1,"Replace / automate candidate",IF(L102&gt;=Settings!$B$2,"Review","Keep")))))</f>
        <v/>
      </c>
      <c r="N102">
        <f>IF(ISNUMBER(L102),RANK(L102,$L$2:$L$200)+COUNTIF($L$2:L102,L102)-1,"")</f>
        <v/>
      </c>
      <c r="O102">
        <f>IF(M102="Replace / automate candidate",N(C102),0)</f>
        <v/>
      </c>
    </row>
    <row r="103">
      <c r="L103">
        <f>IF(OR(H103="",I103="",J103="",K103=""),"",IF(J103+K103=0,"CHECK INPUT",H103*I103/(J103+K103)))</f>
        <v/>
      </c>
      <c r="M103">
        <f>IF(L103="","",IF(L103="CHECK INPUT","CHECK INPUT",IF(G103="Y","Do not replace without sign-off",IF(L103&gt;=Settings!$B$1,"Replace / automate candidate",IF(L103&gt;=Settings!$B$2,"Review","Keep")))))</f>
        <v/>
      </c>
      <c r="N103">
        <f>IF(ISNUMBER(L103),RANK(L103,$L$2:$L$200)+COUNTIF($L$2:L103,L103)-1,"")</f>
        <v/>
      </c>
      <c r="O103">
        <f>IF(M103="Replace / automate candidate",N(C103),0)</f>
        <v/>
      </c>
    </row>
    <row r="104">
      <c r="L104">
        <f>IF(OR(H104="",I104="",J104="",K104=""),"",IF(J104+K104=0,"CHECK INPUT",H104*I104/(J104+K104)))</f>
        <v/>
      </c>
      <c r="M104">
        <f>IF(L104="","",IF(L104="CHECK INPUT","CHECK INPUT",IF(G104="Y","Do not replace without sign-off",IF(L104&gt;=Settings!$B$1,"Replace / automate candidate",IF(L104&gt;=Settings!$B$2,"Review","Keep")))))</f>
        <v/>
      </c>
      <c r="N104">
        <f>IF(ISNUMBER(L104),RANK(L104,$L$2:$L$200)+COUNTIF($L$2:L104,L104)-1,"")</f>
        <v/>
      </c>
      <c r="O104">
        <f>IF(M104="Replace / automate candidate",N(C104),0)</f>
        <v/>
      </c>
    </row>
    <row r="105">
      <c r="L105">
        <f>IF(OR(H105="",I105="",J105="",K105=""),"",IF(J105+K105=0,"CHECK INPUT",H105*I105/(J105+K105)))</f>
        <v/>
      </c>
      <c r="M105">
        <f>IF(L105="","",IF(L105="CHECK INPUT","CHECK INPUT",IF(G105="Y","Do not replace without sign-off",IF(L105&gt;=Settings!$B$1,"Replace / automate candidate",IF(L105&gt;=Settings!$B$2,"Review","Keep")))))</f>
        <v/>
      </c>
      <c r="N105">
        <f>IF(ISNUMBER(L105),RANK(L105,$L$2:$L$200)+COUNTIF($L$2:L105,L105)-1,"")</f>
        <v/>
      </c>
      <c r="O105">
        <f>IF(M105="Replace / automate candidate",N(C105),0)</f>
        <v/>
      </c>
    </row>
    <row r="106">
      <c r="L106">
        <f>IF(OR(H106="",I106="",J106="",K106=""),"",IF(J106+K106=0,"CHECK INPUT",H106*I106/(J106+K106)))</f>
        <v/>
      </c>
      <c r="M106">
        <f>IF(L106="","",IF(L106="CHECK INPUT","CHECK INPUT",IF(G106="Y","Do not replace without sign-off",IF(L106&gt;=Settings!$B$1,"Replace / automate candidate",IF(L106&gt;=Settings!$B$2,"Review","Keep")))))</f>
        <v/>
      </c>
      <c r="N106">
        <f>IF(ISNUMBER(L106),RANK(L106,$L$2:$L$200)+COUNTIF($L$2:L106,L106)-1,"")</f>
        <v/>
      </c>
      <c r="O106">
        <f>IF(M106="Replace / automate candidate",N(C106),0)</f>
        <v/>
      </c>
    </row>
    <row r="107">
      <c r="L107">
        <f>IF(OR(H107="",I107="",J107="",K107=""),"",IF(J107+K107=0,"CHECK INPUT",H107*I107/(J107+K107)))</f>
        <v/>
      </c>
      <c r="M107">
        <f>IF(L107="","",IF(L107="CHECK INPUT","CHECK INPUT",IF(G107="Y","Do not replace without sign-off",IF(L107&gt;=Settings!$B$1,"Replace / automate candidate",IF(L107&gt;=Settings!$B$2,"Review","Keep")))))</f>
        <v/>
      </c>
      <c r="N107">
        <f>IF(ISNUMBER(L107),RANK(L107,$L$2:$L$200)+COUNTIF($L$2:L107,L107)-1,"")</f>
        <v/>
      </c>
      <c r="O107">
        <f>IF(M107="Replace / automate candidate",N(C107),0)</f>
        <v/>
      </c>
    </row>
    <row r="108">
      <c r="L108">
        <f>IF(OR(H108="",I108="",J108="",K108=""),"",IF(J108+K108=0,"CHECK INPUT",H108*I108/(J108+K108)))</f>
        <v/>
      </c>
      <c r="M108">
        <f>IF(L108="","",IF(L108="CHECK INPUT","CHECK INPUT",IF(G108="Y","Do not replace without sign-off",IF(L108&gt;=Settings!$B$1,"Replace / automate candidate",IF(L108&gt;=Settings!$B$2,"Review","Keep")))))</f>
        <v/>
      </c>
      <c r="N108">
        <f>IF(ISNUMBER(L108),RANK(L108,$L$2:$L$200)+COUNTIF($L$2:L108,L108)-1,"")</f>
        <v/>
      </c>
      <c r="O108">
        <f>IF(M108="Replace / automate candidate",N(C108),0)</f>
        <v/>
      </c>
    </row>
    <row r="109">
      <c r="L109">
        <f>IF(OR(H109="",I109="",J109="",K109=""),"",IF(J109+K109=0,"CHECK INPUT",H109*I109/(J109+K109)))</f>
        <v/>
      </c>
      <c r="M109">
        <f>IF(L109="","",IF(L109="CHECK INPUT","CHECK INPUT",IF(G109="Y","Do not replace without sign-off",IF(L109&gt;=Settings!$B$1,"Replace / automate candidate",IF(L109&gt;=Settings!$B$2,"Review","Keep")))))</f>
        <v/>
      </c>
      <c r="N109">
        <f>IF(ISNUMBER(L109),RANK(L109,$L$2:$L$200)+COUNTIF($L$2:L109,L109)-1,"")</f>
        <v/>
      </c>
      <c r="O109">
        <f>IF(M109="Replace / automate candidate",N(C109),0)</f>
        <v/>
      </c>
    </row>
    <row r="110">
      <c r="L110">
        <f>IF(OR(H110="",I110="",J110="",K110=""),"",IF(J110+K110=0,"CHECK INPUT",H110*I110/(J110+K110)))</f>
        <v/>
      </c>
      <c r="M110">
        <f>IF(L110="","",IF(L110="CHECK INPUT","CHECK INPUT",IF(G110="Y","Do not replace without sign-off",IF(L110&gt;=Settings!$B$1,"Replace / automate candidate",IF(L110&gt;=Settings!$B$2,"Review","Keep")))))</f>
        <v/>
      </c>
      <c r="N110">
        <f>IF(ISNUMBER(L110),RANK(L110,$L$2:$L$200)+COUNTIF($L$2:L110,L110)-1,"")</f>
        <v/>
      </c>
      <c r="O110">
        <f>IF(M110="Replace / automate candidate",N(C110),0)</f>
        <v/>
      </c>
    </row>
    <row r="111">
      <c r="L111">
        <f>IF(OR(H111="",I111="",J111="",K111=""),"",IF(J111+K111=0,"CHECK INPUT",H111*I111/(J111+K111)))</f>
        <v/>
      </c>
      <c r="M111">
        <f>IF(L111="","",IF(L111="CHECK INPUT","CHECK INPUT",IF(G111="Y","Do not replace without sign-off",IF(L111&gt;=Settings!$B$1,"Replace / automate candidate",IF(L111&gt;=Settings!$B$2,"Review","Keep")))))</f>
        <v/>
      </c>
      <c r="N111">
        <f>IF(ISNUMBER(L111),RANK(L111,$L$2:$L$200)+COUNTIF($L$2:L111,L111)-1,"")</f>
        <v/>
      </c>
      <c r="O111">
        <f>IF(M111="Replace / automate candidate",N(C111),0)</f>
        <v/>
      </c>
    </row>
    <row r="112">
      <c r="L112">
        <f>IF(OR(H112="",I112="",J112="",K112=""),"",IF(J112+K112=0,"CHECK INPUT",H112*I112/(J112+K112)))</f>
        <v/>
      </c>
      <c r="M112">
        <f>IF(L112="","",IF(L112="CHECK INPUT","CHECK INPUT",IF(G112="Y","Do not replace without sign-off",IF(L112&gt;=Settings!$B$1,"Replace / automate candidate",IF(L112&gt;=Settings!$B$2,"Review","Keep")))))</f>
        <v/>
      </c>
      <c r="N112">
        <f>IF(ISNUMBER(L112),RANK(L112,$L$2:$L$200)+COUNTIF($L$2:L112,L112)-1,"")</f>
        <v/>
      </c>
      <c r="O112">
        <f>IF(M112="Replace / automate candidate",N(C112),0)</f>
        <v/>
      </c>
    </row>
    <row r="113">
      <c r="L113">
        <f>IF(OR(H113="",I113="",J113="",K113=""),"",IF(J113+K113=0,"CHECK INPUT",H113*I113/(J113+K113)))</f>
        <v/>
      </c>
      <c r="M113">
        <f>IF(L113="","",IF(L113="CHECK INPUT","CHECK INPUT",IF(G113="Y","Do not replace without sign-off",IF(L113&gt;=Settings!$B$1,"Replace / automate candidate",IF(L113&gt;=Settings!$B$2,"Review","Keep")))))</f>
        <v/>
      </c>
      <c r="N113">
        <f>IF(ISNUMBER(L113),RANK(L113,$L$2:$L$200)+COUNTIF($L$2:L113,L113)-1,"")</f>
        <v/>
      </c>
      <c r="O113">
        <f>IF(M113="Replace / automate candidate",N(C113),0)</f>
        <v/>
      </c>
    </row>
    <row r="114">
      <c r="L114">
        <f>IF(OR(H114="",I114="",J114="",K114=""),"",IF(J114+K114=0,"CHECK INPUT",H114*I114/(J114+K114)))</f>
        <v/>
      </c>
      <c r="M114">
        <f>IF(L114="","",IF(L114="CHECK INPUT","CHECK INPUT",IF(G114="Y","Do not replace without sign-off",IF(L114&gt;=Settings!$B$1,"Replace / automate candidate",IF(L114&gt;=Settings!$B$2,"Review","Keep")))))</f>
        <v/>
      </c>
      <c r="N114">
        <f>IF(ISNUMBER(L114),RANK(L114,$L$2:$L$200)+COUNTIF($L$2:L114,L114)-1,"")</f>
        <v/>
      </c>
      <c r="O114">
        <f>IF(M114="Replace / automate candidate",N(C114),0)</f>
        <v/>
      </c>
    </row>
    <row r="115">
      <c r="L115">
        <f>IF(OR(H115="",I115="",J115="",K115=""),"",IF(J115+K115=0,"CHECK INPUT",H115*I115/(J115+K115)))</f>
        <v/>
      </c>
      <c r="M115">
        <f>IF(L115="","",IF(L115="CHECK INPUT","CHECK INPUT",IF(G115="Y","Do not replace without sign-off",IF(L115&gt;=Settings!$B$1,"Replace / automate candidate",IF(L115&gt;=Settings!$B$2,"Review","Keep")))))</f>
        <v/>
      </c>
      <c r="N115">
        <f>IF(ISNUMBER(L115),RANK(L115,$L$2:$L$200)+COUNTIF($L$2:L115,L115)-1,"")</f>
        <v/>
      </c>
      <c r="O115">
        <f>IF(M115="Replace / automate candidate",N(C115),0)</f>
        <v/>
      </c>
    </row>
    <row r="116">
      <c r="L116">
        <f>IF(OR(H116="",I116="",J116="",K116=""),"",IF(J116+K116=0,"CHECK INPUT",H116*I116/(J116+K116)))</f>
        <v/>
      </c>
      <c r="M116">
        <f>IF(L116="","",IF(L116="CHECK INPUT","CHECK INPUT",IF(G116="Y","Do not replace without sign-off",IF(L116&gt;=Settings!$B$1,"Replace / automate candidate",IF(L116&gt;=Settings!$B$2,"Review","Keep")))))</f>
        <v/>
      </c>
      <c r="N116">
        <f>IF(ISNUMBER(L116),RANK(L116,$L$2:$L$200)+COUNTIF($L$2:L116,L116)-1,"")</f>
        <v/>
      </c>
      <c r="O116">
        <f>IF(M116="Replace / automate candidate",N(C116),0)</f>
        <v/>
      </c>
    </row>
    <row r="117">
      <c r="L117">
        <f>IF(OR(H117="",I117="",J117="",K117=""),"",IF(J117+K117=0,"CHECK INPUT",H117*I117/(J117+K117)))</f>
        <v/>
      </c>
      <c r="M117">
        <f>IF(L117="","",IF(L117="CHECK INPUT","CHECK INPUT",IF(G117="Y","Do not replace without sign-off",IF(L117&gt;=Settings!$B$1,"Replace / automate candidate",IF(L117&gt;=Settings!$B$2,"Review","Keep")))))</f>
        <v/>
      </c>
      <c r="N117">
        <f>IF(ISNUMBER(L117),RANK(L117,$L$2:$L$200)+COUNTIF($L$2:L117,L117)-1,"")</f>
        <v/>
      </c>
      <c r="O117">
        <f>IF(M117="Replace / automate candidate",N(C117),0)</f>
        <v/>
      </c>
    </row>
    <row r="118">
      <c r="L118">
        <f>IF(OR(H118="",I118="",J118="",K118=""),"",IF(J118+K118=0,"CHECK INPUT",H118*I118/(J118+K118)))</f>
        <v/>
      </c>
      <c r="M118">
        <f>IF(L118="","",IF(L118="CHECK INPUT","CHECK INPUT",IF(G118="Y","Do not replace without sign-off",IF(L118&gt;=Settings!$B$1,"Replace / automate candidate",IF(L118&gt;=Settings!$B$2,"Review","Keep")))))</f>
        <v/>
      </c>
      <c r="N118">
        <f>IF(ISNUMBER(L118),RANK(L118,$L$2:$L$200)+COUNTIF($L$2:L118,L118)-1,"")</f>
        <v/>
      </c>
      <c r="O118">
        <f>IF(M118="Replace / automate candidate",N(C118),0)</f>
        <v/>
      </c>
    </row>
    <row r="119">
      <c r="L119">
        <f>IF(OR(H119="",I119="",J119="",K119=""),"",IF(J119+K119=0,"CHECK INPUT",H119*I119/(J119+K119)))</f>
        <v/>
      </c>
      <c r="M119">
        <f>IF(L119="","",IF(L119="CHECK INPUT","CHECK INPUT",IF(G119="Y","Do not replace without sign-off",IF(L119&gt;=Settings!$B$1,"Replace / automate candidate",IF(L119&gt;=Settings!$B$2,"Review","Keep")))))</f>
        <v/>
      </c>
      <c r="N119">
        <f>IF(ISNUMBER(L119),RANK(L119,$L$2:$L$200)+COUNTIF($L$2:L119,L119)-1,"")</f>
        <v/>
      </c>
      <c r="O119">
        <f>IF(M119="Replace / automate candidate",N(C119),0)</f>
        <v/>
      </c>
    </row>
    <row r="120">
      <c r="L120">
        <f>IF(OR(H120="",I120="",J120="",K120=""),"",IF(J120+K120=0,"CHECK INPUT",H120*I120/(J120+K120)))</f>
        <v/>
      </c>
      <c r="M120">
        <f>IF(L120="","",IF(L120="CHECK INPUT","CHECK INPUT",IF(G120="Y","Do not replace without sign-off",IF(L120&gt;=Settings!$B$1,"Replace / automate candidate",IF(L120&gt;=Settings!$B$2,"Review","Keep")))))</f>
        <v/>
      </c>
      <c r="N120">
        <f>IF(ISNUMBER(L120),RANK(L120,$L$2:$L$200)+COUNTIF($L$2:L120,L120)-1,"")</f>
        <v/>
      </c>
      <c r="O120">
        <f>IF(M120="Replace / automate candidate",N(C120),0)</f>
        <v/>
      </c>
    </row>
    <row r="121">
      <c r="L121">
        <f>IF(OR(H121="",I121="",J121="",K121=""),"",IF(J121+K121=0,"CHECK INPUT",H121*I121/(J121+K121)))</f>
        <v/>
      </c>
      <c r="M121">
        <f>IF(L121="","",IF(L121="CHECK INPUT","CHECK INPUT",IF(G121="Y","Do not replace without sign-off",IF(L121&gt;=Settings!$B$1,"Replace / automate candidate",IF(L121&gt;=Settings!$B$2,"Review","Keep")))))</f>
        <v/>
      </c>
      <c r="N121">
        <f>IF(ISNUMBER(L121),RANK(L121,$L$2:$L$200)+COUNTIF($L$2:L121,L121)-1,"")</f>
        <v/>
      </c>
      <c r="O121">
        <f>IF(M121="Replace / automate candidate",N(C121),0)</f>
        <v/>
      </c>
    </row>
    <row r="122">
      <c r="L122">
        <f>IF(OR(H122="",I122="",J122="",K122=""),"",IF(J122+K122=0,"CHECK INPUT",H122*I122/(J122+K122)))</f>
        <v/>
      </c>
      <c r="M122">
        <f>IF(L122="","",IF(L122="CHECK INPUT","CHECK INPUT",IF(G122="Y","Do not replace without sign-off",IF(L122&gt;=Settings!$B$1,"Replace / automate candidate",IF(L122&gt;=Settings!$B$2,"Review","Keep")))))</f>
        <v/>
      </c>
      <c r="N122">
        <f>IF(ISNUMBER(L122),RANK(L122,$L$2:$L$200)+COUNTIF($L$2:L122,L122)-1,"")</f>
        <v/>
      </c>
      <c r="O122">
        <f>IF(M122="Replace / automate candidate",N(C122),0)</f>
        <v/>
      </c>
    </row>
    <row r="123">
      <c r="L123">
        <f>IF(OR(H123="",I123="",J123="",K123=""),"",IF(J123+K123=0,"CHECK INPUT",H123*I123/(J123+K123)))</f>
        <v/>
      </c>
      <c r="M123">
        <f>IF(L123="","",IF(L123="CHECK INPUT","CHECK INPUT",IF(G123="Y","Do not replace without sign-off",IF(L123&gt;=Settings!$B$1,"Replace / automate candidate",IF(L123&gt;=Settings!$B$2,"Review","Keep")))))</f>
        <v/>
      </c>
      <c r="N123">
        <f>IF(ISNUMBER(L123),RANK(L123,$L$2:$L$200)+COUNTIF($L$2:L123,L123)-1,"")</f>
        <v/>
      </c>
      <c r="O123">
        <f>IF(M123="Replace / automate candidate",N(C123),0)</f>
        <v/>
      </c>
    </row>
    <row r="124">
      <c r="L124">
        <f>IF(OR(H124="",I124="",J124="",K124=""),"",IF(J124+K124=0,"CHECK INPUT",H124*I124/(J124+K124)))</f>
        <v/>
      </c>
      <c r="M124">
        <f>IF(L124="","",IF(L124="CHECK INPUT","CHECK INPUT",IF(G124="Y","Do not replace without sign-off",IF(L124&gt;=Settings!$B$1,"Replace / automate candidate",IF(L124&gt;=Settings!$B$2,"Review","Keep")))))</f>
        <v/>
      </c>
      <c r="N124">
        <f>IF(ISNUMBER(L124),RANK(L124,$L$2:$L$200)+COUNTIF($L$2:L124,L124)-1,"")</f>
        <v/>
      </c>
      <c r="O124">
        <f>IF(M124="Replace / automate candidate",N(C124),0)</f>
        <v/>
      </c>
    </row>
    <row r="125">
      <c r="L125">
        <f>IF(OR(H125="",I125="",J125="",K125=""),"",IF(J125+K125=0,"CHECK INPUT",H125*I125/(J125+K125)))</f>
        <v/>
      </c>
      <c r="M125">
        <f>IF(L125="","",IF(L125="CHECK INPUT","CHECK INPUT",IF(G125="Y","Do not replace without sign-off",IF(L125&gt;=Settings!$B$1,"Replace / automate candidate",IF(L125&gt;=Settings!$B$2,"Review","Keep")))))</f>
        <v/>
      </c>
      <c r="N125">
        <f>IF(ISNUMBER(L125),RANK(L125,$L$2:$L$200)+COUNTIF($L$2:L125,L125)-1,"")</f>
        <v/>
      </c>
      <c r="O125">
        <f>IF(M125="Replace / automate candidate",N(C125),0)</f>
        <v/>
      </c>
    </row>
    <row r="126">
      <c r="L126">
        <f>IF(OR(H126="",I126="",J126="",K126=""),"",IF(J126+K126=0,"CHECK INPUT",H126*I126/(J126+K126)))</f>
        <v/>
      </c>
      <c r="M126">
        <f>IF(L126="","",IF(L126="CHECK INPUT","CHECK INPUT",IF(G126="Y","Do not replace without sign-off",IF(L126&gt;=Settings!$B$1,"Replace / automate candidate",IF(L126&gt;=Settings!$B$2,"Review","Keep")))))</f>
        <v/>
      </c>
      <c r="N126">
        <f>IF(ISNUMBER(L126),RANK(L126,$L$2:$L$200)+COUNTIF($L$2:L126,L126)-1,"")</f>
        <v/>
      </c>
      <c r="O126">
        <f>IF(M126="Replace / automate candidate",N(C126),0)</f>
        <v/>
      </c>
    </row>
    <row r="127">
      <c r="L127">
        <f>IF(OR(H127="",I127="",J127="",K127=""),"",IF(J127+K127=0,"CHECK INPUT",H127*I127/(J127+K127)))</f>
        <v/>
      </c>
      <c r="M127">
        <f>IF(L127="","",IF(L127="CHECK INPUT","CHECK INPUT",IF(G127="Y","Do not replace without sign-off",IF(L127&gt;=Settings!$B$1,"Replace / automate candidate",IF(L127&gt;=Settings!$B$2,"Review","Keep")))))</f>
        <v/>
      </c>
      <c r="N127">
        <f>IF(ISNUMBER(L127),RANK(L127,$L$2:$L$200)+COUNTIF($L$2:L127,L127)-1,"")</f>
        <v/>
      </c>
      <c r="O127">
        <f>IF(M127="Replace / automate candidate",N(C127),0)</f>
        <v/>
      </c>
    </row>
    <row r="128">
      <c r="L128">
        <f>IF(OR(H128="",I128="",J128="",K128=""),"",IF(J128+K128=0,"CHECK INPUT",H128*I128/(J128+K128)))</f>
        <v/>
      </c>
      <c r="M128">
        <f>IF(L128="","",IF(L128="CHECK INPUT","CHECK INPUT",IF(G128="Y","Do not replace without sign-off",IF(L128&gt;=Settings!$B$1,"Replace / automate candidate",IF(L128&gt;=Settings!$B$2,"Review","Keep")))))</f>
        <v/>
      </c>
      <c r="N128">
        <f>IF(ISNUMBER(L128),RANK(L128,$L$2:$L$200)+COUNTIF($L$2:L128,L128)-1,"")</f>
        <v/>
      </c>
      <c r="O128">
        <f>IF(M128="Replace / automate candidate",N(C128),0)</f>
        <v/>
      </c>
    </row>
    <row r="129">
      <c r="L129">
        <f>IF(OR(H129="",I129="",J129="",K129=""),"",IF(J129+K129=0,"CHECK INPUT",H129*I129/(J129+K129)))</f>
        <v/>
      </c>
      <c r="M129">
        <f>IF(L129="","",IF(L129="CHECK INPUT","CHECK INPUT",IF(G129="Y","Do not replace without sign-off",IF(L129&gt;=Settings!$B$1,"Replace / automate candidate",IF(L129&gt;=Settings!$B$2,"Review","Keep")))))</f>
        <v/>
      </c>
      <c r="N129">
        <f>IF(ISNUMBER(L129),RANK(L129,$L$2:$L$200)+COUNTIF($L$2:L129,L129)-1,"")</f>
        <v/>
      </c>
      <c r="O129">
        <f>IF(M129="Replace / automate candidate",N(C129),0)</f>
        <v/>
      </c>
    </row>
    <row r="130">
      <c r="L130">
        <f>IF(OR(H130="",I130="",J130="",K130=""),"",IF(J130+K130=0,"CHECK INPUT",H130*I130/(J130+K130)))</f>
        <v/>
      </c>
      <c r="M130">
        <f>IF(L130="","",IF(L130="CHECK INPUT","CHECK INPUT",IF(G130="Y","Do not replace without sign-off",IF(L130&gt;=Settings!$B$1,"Replace / automate candidate",IF(L130&gt;=Settings!$B$2,"Review","Keep")))))</f>
        <v/>
      </c>
      <c r="N130">
        <f>IF(ISNUMBER(L130),RANK(L130,$L$2:$L$200)+COUNTIF($L$2:L130,L130)-1,"")</f>
        <v/>
      </c>
      <c r="O130">
        <f>IF(M130="Replace / automate candidate",N(C130),0)</f>
        <v/>
      </c>
    </row>
    <row r="131">
      <c r="L131">
        <f>IF(OR(H131="",I131="",J131="",K131=""),"",IF(J131+K131=0,"CHECK INPUT",H131*I131/(J131+K131)))</f>
        <v/>
      </c>
      <c r="M131">
        <f>IF(L131="","",IF(L131="CHECK INPUT","CHECK INPUT",IF(G131="Y","Do not replace without sign-off",IF(L131&gt;=Settings!$B$1,"Replace / automate candidate",IF(L131&gt;=Settings!$B$2,"Review","Keep")))))</f>
        <v/>
      </c>
      <c r="N131">
        <f>IF(ISNUMBER(L131),RANK(L131,$L$2:$L$200)+COUNTIF($L$2:L131,L131)-1,"")</f>
        <v/>
      </c>
      <c r="O131">
        <f>IF(M131="Replace / automate candidate",N(C131),0)</f>
        <v/>
      </c>
    </row>
    <row r="132">
      <c r="L132">
        <f>IF(OR(H132="",I132="",J132="",K132=""),"",IF(J132+K132=0,"CHECK INPUT",H132*I132/(J132+K132)))</f>
        <v/>
      </c>
      <c r="M132">
        <f>IF(L132="","",IF(L132="CHECK INPUT","CHECK INPUT",IF(G132="Y","Do not replace without sign-off",IF(L132&gt;=Settings!$B$1,"Replace / automate candidate",IF(L132&gt;=Settings!$B$2,"Review","Keep")))))</f>
        <v/>
      </c>
      <c r="N132">
        <f>IF(ISNUMBER(L132),RANK(L132,$L$2:$L$200)+COUNTIF($L$2:L132,L132)-1,"")</f>
        <v/>
      </c>
      <c r="O132">
        <f>IF(M132="Replace / automate candidate",N(C132),0)</f>
        <v/>
      </c>
    </row>
    <row r="133">
      <c r="L133">
        <f>IF(OR(H133="",I133="",J133="",K133=""),"",IF(J133+K133=0,"CHECK INPUT",H133*I133/(J133+K133)))</f>
        <v/>
      </c>
      <c r="M133">
        <f>IF(L133="","",IF(L133="CHECK INPUT","CHECK INPUT",IF(G133="Y","Do not replace without sign-off",IF(L133&gt;=Settings!$B$1,"Replace / automate candidate",IF(L133&gt;=Settings!$B$2,"Review","Keep")))))</f>
        <v/>
      </c>
      <c r="N133">
        <f>IF(ISNUMBER(L133),RANK(L133,$L$2:$L$200)+COUNTIF($L$2:L133,L133)-1,"")</f>
        <v/>
      </c>
      <c r="O133">
        <f>IF(M133="Replace / automate candidate",N(C133),0)</f>
        <v/>
      </c>
    </row>
    <row r="134">
      <c r="L134">
        <f>IF(OR(H134="",I134="",J134="",K134=""),"",IF(J134+K134=0,"CHECK INPUT",H134*I134/(J134+K134)))</f>
        <v/>
      </c>
      <c r="M134">
        <f>IF(L134="","",IF(L134="CHECK INPUT","CHECK INPUT",IF(G134="Y","Do not replace without sign-off",IF(L134&gt;=Settings!$B$1,"Replace / automate candidate",IF(L134&gt;=Settings!$B$2,"Review","Keep")))))</f>
        <v/>
      </c>
      <c r="N134">
        <f>IF(ISNUMBER(L134),RANK(L134,$L$2:$L$200)+COUNTIF($L$2:L134,L134)-1,"")</f>
        <v/>
      </c>
      <c r="O134">
        <f>IF(M134="Replace / automate candidate",N(C134),0)</f>
        <v/>
      </c>
    </row>
    <row r="135">
      <c r="L135">
        <f>IF(OR(H135="",I135="",J135="",K135=""),"",IF(J135+K135=0,"CHECK INPUT",H135*I135/(J135+K135)))</f>
        <v/>
      </c>
      <c r="M135">
        <f>IF(L135="","",IF(L135="CHECK INPUT","CHECK INPUT",IF(G135="Y","Do not replace without sign-off",IF(L135&gt;=Settings!$B$1,"Replace / automate candidate",IF(L135&gt;=Settings!$B$2,"Review","Keep")))))</f>
        <v/>
      </c>
      <c r="N135">
        <f>IF(ISNUMBER(L135),RANK(L135,$L$2:$L$200)+COUNTIF($L$2:L135,L135)-1,"")</f>
        <v/>
      </c>
      <c r="O135">
        <f>IF(M135="Replace / automate candidate",N(C135),0)</f>
        <v/>
      </c>
    </row>
    <row r="136">
      <c r="L136">
        <f>IF(OR(H136="",I136="",J136="",K136=""),"",IF(J136+K136=0,"CHECK INPUT",H136*I136/(J136+K136)))</f>
        <v/>
      </c>
      <c r="M136">
        <f>IF(L136="","",IF(L136="CHECK INPUT","CHECK INPUT",IF(G136="Y","Do not replace without sign-off",IF(L136&gt;=Settings!$B$1,"Replace / automate candidate",IF(L136&gt;=Settings!$B$2,"Review","Keep")))))</f>
        <v/>
      </c>
      <c r="N136">
        <f>IF(ISNUMBER(L136),RANK(L136,$L$2:$L$200)+COUNTIF($L$2:L136,L136)-1,"")</f>
        <v/>
      </c>
      <c r="O136">
        <f>IF(M136="Replace / automate candidate",N(C136),0)</f>
        <v/>
      </c>
    </row>
    <row r="137">
      <c r="L137">
        <f>IF(OR(H137="",I137="",J137="",K137=""),"",IF(J137+K137=0,"CHECK INPUT",H137*I137/(J137+K137)))</f>
        <v/>
      </c>
      <c r="M137">
        <f>IF(L137="","",IF(L137="CHECK INPUT","CHECK INPUT",IF(G137="Y","Do not replace without sign-off",IF(L137&gt;=Settings!$B$1,"Replace / automate candidate",IF(L137&gt;=Settings!$B$2,"Review","Keep")))))</f>
        <v/>
      </c>
      <c r="N137">
        <f>IF(ISNUMBER(L137),RANK(L137,$L$2:$L$200)+COUNTIF($L$2:L137,L137)-1,"")</f>
        <v/>
      </c>
      <c r="O137">
        <f>IF(M137="Replace / automate candidate",N(C137),0)</f>
        <v/>
      </c>
    </row>
    <row r="138">
      <c r="L138">
        <f>IF(OR(H138="",I138="",J138="",K138=""),"",IF(J138+K138=0,"CHECK INPUT",H138*I138/(J138+K138)))</f>
        <v/>
      </c>
      <c r="M138">
        <f>IF(L138="","",IF(L138="CHECK INPUT","CHECK INPUT",IF(G138="Y","Do not replace without sign-off",IF(L138&gt;=Settings!$B$1,"Replace / automate candidate",IF(L138&gt;=Settings!$B$2,"Review","Keep")))))</f>
        <v/>
      </c>
      <c r="N138">
        <f>IF(ISNUMBER(L138),RANK(L138,$L$2:$L$200)+COUNTIF($L$2:L138,L138)-1,"")</f>
        <v/>
      </c>
      <c r="O138">
        <f>IF(M138="Replace / automate candidate",N(C138),0)</f>
        <v/>
      </c>
    </row>
    <row r="139">
      <c r="L139">
        <f>IF(OR(H139="",I139="",J139="",K139=""),"",IF(J139+K139=0,"CHECK INPUT",H139*I139/(J139+K139)))</f>
        <v/>
      </c>
      <c r="M139">
        <f>IF(L139="","",IF(L139="CHECK INPUT","CHECK INPUT",IF(G139="Y","Do not replace without sign-off",IF(L139&gt;=Settings!$B$1,"Replace / automate candidate",IF(L139&gt;=Settings!$B$2,"Review","Keep")))))</f>
        <v/>
      </c>
      <c r="N139">
        <f>IF(ISNUMBER(L139),RANK(L139,$L$2:$L$200)+COUNTIF($L$2:L139,L139)-1,"")</f>
        <v/>
      </c>
      <c r="O139">
        <f>IF(M139="Replace / automate candidate",N(C139),0)</f>
        <v/>
      </c>
    </row>
    <row r="140">
      <c r="L140">
        <f>IF(OR(H140="",I140="",J140="",K140=""),"",IF(J140+K140=0,"CHECK INPUT",H140*I140/(J140+K140)))</f>
        <v/>
      </c>
      <c r="M140">
        <f>IF(L140="","",IF(L140="CHECK INPUT","CHECK INPUT",IF(G140="Y","Do not replace without sign-off",IF(L140&gt;=Settings!$B$1,"Replace / automate candidate",IF(L140&gt;=Settings!$B$2,"Review","Keep")))))</f>
        <v/>
      </c>
      <c r="N140">
        <f>IF(ISNUMBER(L140),RANK(L140,$L$2:$L$200)+COUNTIF($L$2:L140,L140)-1,"")</f>
        <v/>
      </c>
      <c r="O140">
        <f>IF(M140="Replace / automate candidate",N(C140),0)</f>
        <v/>
      </c>
    </row>
    <row r="141">
      <c r="L141">
        <f>IF(OR(H141="",I141="",J141="",K141=""),"",IF(J141+K141=0,"CHECK INPUT",H141*I141/(J141+K141)))</f>
        <v/>
      </c>
      <c r="M141">
        <f>IF(L141="","",IF(L141="CHECK INPUT","CHECK INPUT",IF(G141="Y","Do not replace without sign-off",IF(L141&gt;=Settings!$B$1,"Replace / automate candidate",IF(L141&gt;=Settings!$B$2,"Review","Keep")))))</f>
        <v/>
      </c>
      <c r="N141">
        <f>IF(ISNUMBER(L141),RANK(L141,$L$2:$L$200)+COUNTIF($L$2:L141,L141)-1,"")</f>
        <v/>
      </c>
      <c r="O141">
        <f>IF(M141="Replace / automate candidate",N(C141),0)</f>
        <v/>
      </c>
    </row>
    <row r="142">
      <c r="L142">
        <f>IF(OR(H142="",I142="",J142="",K142=""),"",IF(J142+K142=0,"CHECK INPUT",H142*I142/(J142+K142)))</f>
        <v/>
      </c>
      <c r="M142">
        <f>IF(L142="","",IF(L142="CHECK INPUT","CHECK INPUT",IF(G142="Y","Do not replace without sign-off",IF(L142&gt;=Settings!$B$1,"Replace / automate candidate",IF(L142&gt;=Settings!$B$2,"Review","Keep")))))</f>
        <v/>
      </c>
      <c r="N142">
        <f>IF(ISNUMBER(L142),RANK(L142,$L$2:$L$200)+COUNTIF($L$2:L142,L142)-1,"")</f>
        <v/>
      </c>
      <c r="O142">
        <f>IF(M142="Replace / automate candidate",N(C142),0)</f>
        <v/>
      </c>
    </row>
    <row r="143">
      <c r="L143">
        <f>IF(OR(H143="",I143="",J143="",K143=""),"",IF(J143+K143=0,"CHECK INPUT",H143*I143/(J143+K143)))</f>
        <v/>
      </c>
      <c r="M143">
        <f>IF(L143="","",IF(L143="CHECK INPUT","CHECK INPUT",IF(G143="Y","Do not replace without sign-off",IF(L143&gt;=Settings!$B$1,"Replace / automate candidate",IF(L143&gt;=Settings!$B$2,"Review","Keep")))))</f>
        <v/>
      </c>
      <c r="N143">
        <f>IF(ISNUMBER(L143),RANK(L143,$L$2:$L$200)+COUNTIF($L$2:L143,L143)-1,"")</f>
        <v/>
      </c>
      <c r="O143">
        <f>IF(M143="Replace / automate candidate",N(C143),0)</f>
        <v/>
      </c>
    </row>
    <row r="144">
      <c r="L144">
        <f>IF(OR(H144="",I144="",J144="",K144=""),"",IF(J144+K144=0,"CHECK INPUT",H144*I144/(J144+K144)))</f>
        <v/>
      </c>
      <c r="M144">
        <f>IF(L144="","",IF(L144="CHECK INPUT","CHECK INPUT",IF(G144="Y","Do not replace without sign-off",IF(L144&gt;=Settings!$B$1,"Replace / automate candidate",IF(L144&gt;=Settings!$B$2,"Review","Keep")))))</f>
        <v/>
      </c>
      <c r="N144">
        <f>IF(ISNUMBER(L144),RANK(L144,$L$2:$L$200)+COUNTIF($L$2:L144,L144)-1,"")</f>
        <v/>
      </c>
      <c r="O144">
        <f>IF(M144="Replace / automate candidate",N(C144),0)</f>
        <v/>
      </c>
    </row>
    <row r="145">
      <c r="L145">
        <f>IF(OR(H145="",I145="",J145="",K145=""),"",IF(J145+K145=0,"CHECK INPUT",H145*I145/(J145+K145)))</f>
        <v/>
      </c>
      <c r="M145">
        <f>IF(L145="","",IF(L145="CHECK INPUT","CHECK INPUT",IF(G145="Y","Do not replace without sign-off",IF(L145&gt;=Settings!$B$1,"Replace / automate candidate",IF(L145&gt;=Settings!$B$2,"Review","Keep")))))</f>
        <v/>
      </c>
      <c r="N145">
        <f>IF(ISNUMBER(L145),RANK(L145,$L$2:$L$200)+COUNTIF($L$2:L145,L145)-1,"")</f>
        <v/>
      </c>
      <c r="O145">
        <f>IF(M145="Replace / automate candidate",N(C145),0)</f>
        <v/>
      </c>
    </row>
    <row r="146">
      <c r="L146">
        <f>IF(OR(H146="",I146="",J146="",K146=""),"",IF(J146+K146=0,"CHECK INPUT",H146*I146/(J146+K146)))</f>
        <v/>
      </c>
      <c r="M146">
        <f>IF(L146="","",IF(L146="CHECK INPUT","CHECK INPUT",IF(G146="Y","Do not replace without sign-off",IF(L146&gt;=Settings!$B$1,"Replace / automate candidate",IF(L146&gt;=Settings!$B$2,"Review","Keep")))))</f>
        <v/>
      </c>
      <c r="N146">
        <f>IF(ISNUMBER(L146),RANK(L146,$L$2:$L$200)+COUNTIF($L$2:L146,L146)-1,"")</f>
        <v/>
      </c>
      <c r="O146">
        <f>IF(M146="Replace / automate candidate",N(C146),0)</f>
        <v/>
      </c>
    </row>
    <row r="147">
      <c r="L147">
        <f>IF(OR(H147="",I147="",J147="",K147=""),"",IF(J147+K147=0,"CHECK INPUT",H147*I147/(J147+K147)))</f>
        <v/>
      </c>
      <c r="M147">
        <f>IF(L147="","",IF(L147="CHECK INPUT","CHECK INPUT",IF(G147="Y","Do not replace without sign-off",IF(L147&gt;=Settings!$B$1,"Replace / automate candidate",IF(L147&gt;=Settings!$B$2,"Review","Keep")))))</f>
        <v/>
      </c>
      <c r="N147">
        <f>IF(ISNUMBER(L147),RANK(L147,$L$2:$L$200)+COUNTIF($L$2:L147,L147)-1,"")</f>
        <v/>
      </c>
      <c r="O147">
        <f>IF(M147="Replace / automate candidate",N(C147),0)</f>
        <v/>
      </c>
    </row>
    <row r="148">
      <c r="L148">
        <f>IF(OR(H148="",I148="",J148="",K148=""),"",IF(J148+K148=0,"CHECK INPUT",H148*I148/(J148+K148)))</f>
        <v/>
      </c>
      <c r="M148">
        <f>IF(L148="","",IF(L148="CHECK INPUT","CHECK INPUT",IF(G148="Y","Do not replace without sign-off",IF(L148&gt;=Settings!$B$1,"Replace / automate candidate",IF(L148&gt;=Settings!$B$2,"Review","Keep")))))</f>
        <v/>
      </c>
      <c r="N148">
        <f>IF(ISNUMBER(L148),RANK(L148,$L$2:$L$200)+COUNTIF($L$2:L148,L148)-1,"")</f>
        <v/>
      </c>
      <c r="O148">
        <f>IF(M148="Replace / automate candidate",N(C148),0)</f>
        <v/>
      </c>
    </row>
    <row r="149">
      <c r="L149">
        <f>IF(OR(H149="",I149="",J149="",K149=""),"",IF(J149+K149=0,"CHECK INPUT",H149*I149/(J149+K149)))</f>
        <v/>
      </c>
      <c r="M149">
        <f>IF(L149="","",IF(L149="CHECK INPUT","CHECK INPUT",IF(G149="Y","Do not replace without sign-off",IF(L149&gt;=Settings!$B$1,"Replace / automate candidate",IF(L149&gt;=Settings!$B$2,"Review","Keep")))))</f>
        <v/>
      </c>
      <c r="N149">
        <f>IF(ISNUMBER(L149),RANK(L149,$L$2:$L$200)+COUNTIF($L$2:L149,L149)-1,"")</f>
        <v/>
      </c>
      <c r="O149">
        <f>IF(M149="Replace / automate candidate",N(C149),0)</f>
        <v/>
      </c>
    </row>
    <row r="150">
      <c r="L150">
        <f>IF(OR(H150="",I150="",J150="",K150=""),"",IF(J150+K150=0,"CHECK INPUT",H150*I150/(J150+K150)))</f>
        <v/>
      </c>
      <c r="M150">
        <f>IF(L150="","",IF(L150="CHECK INPUT","CHECK INPUT",IF(G150="Y","Do not replace without sign-off",IF(L150&gt;=Settings!$B$1,"Replace / automate candidate",IF(L150&gt;=Settings!$B$2,"Review","Keep")))))</f>
        <v/>
      </c>
      <c r="N150">
        <f>IF(ISNUMBER(L150),RANK(L150,$L$2:$L$200)+COUNTIF($L$2:L150,L150)-1,"")</f>
        <v/>
      </c>
      <c r="O150">
        <f>IF(M150="Replace / automate candidate",N(C150),0)</f>
        <v/>
      </c>
    </row>
    <row r="151">
      <c r="L151">
        <f>IF(OR(H151="",I151="",J151="",K151=""),"",IF(J151+K151=0,"CHECK INPUT",H151*I151/(J151+K151)))</f>
        <v/>
      </c>
      <c r="M151">
        <f>IF(L151="","",IF(L151="CHECK INPUT","CHECK INPUT",IF(G151="Y","Do not replace without sign-off",IF(L151&gt;=Settings!$B$1,"Replace / automate candidate",IF(L151&gt;=Settings!$B$2,"Review","Keep")))))</f>
        <v/>
      </c>
      <c r="N151">
        <f>IF(ISNUMBER(L151),RANK(L151,$L$2:$L$200)+COUNTIF($L$2:L151,L151)-1,"")</f>
        <v/>
      </c>
      <c r="O151">
        <f>IF(M151="Replace / automate candidate",N(C151),0)</f>
        <v/>
      </c>
    </row>
    <row r="152">
      <c r="L152">
        <f>IF(OR(H152="",I152="",J152="",K152=""),"",IF(J152+K152=0,"CHECK INPUT",H152*I152/(J152+K152)))</f>
        <v/>
      </c>
      <c r="M152">
        <f>IF(L152="","",IF(L152="CHECK INPUT","CHECK INPUT",IF(G152="Y","Do not replace without sign-off",IF(L152&gt;=Settings!$B$1,"Replace / automate candidate",IF(L152&gt;=Settings!$B$2,"Review","Keep")))))</f>
        <v/>
      </c>
      <c r="N152">
        <f>IF(ISNUMBER(L152),RANK(L152,$L$2:$L$200)+COUNTIF($L$2:L152,L152)-1,"")</f>
        <v/>
      </c>
      <c r="O152">
        <f>IF(M152="Replace / automate candidate",N(C152),0)</f>
        <v/>
      </c>
    </row>
    <row r="153">
      <c r="L153">
        <f>IF(OR(H153="",I153="",J153="",K153=""),"",IF(J153+K153=0,"CHECK INPUT",H153*I153/(J153+K153)))</f>
        <v/>
      </c>
      <c r="M153">
        <f>IF(L153="","",IF(L153="CHECK INPUT","CHECK INPUT",IF(G153="Y","Do not replace without sign-off",IF(L153&gt;=Settings!$B$1,"Replace / automate candidate",IF(L153&gt;=Settings!$B$2,"Review","Keep")))))</f>
        <v/>
      </c>
      <c r="N153">
        <f>IF(ISNUMBER(L153),RANK(L153,$L$2:$L$200)+COUNTIF($L$2:L153,L153)-1,"")</f>
        <v/>
      </c>
      <c r="O153">
        <f>IF(M153="Replace / automate candidate",N(C153),0)</f>
        <v/>
      </c>
    </row>
    <row r="154">
      <c r="L154">
        <f>IF(OR(H154="",I154="",J154="",K154=""),"",IF(J154+K154=0,"CHECK INPUT",H154*I154/(J154+K154)))</f>
        <v/>
      </c>
      <c r="M154">
        <f>IF(L154="","",IF(L154="CHECK INPUT","CHECK INPUT",IF(G154="Y","Do not replace without sign-off",IF(L154&gt;=Settings!$B$1,"Replace / automate candidate",IF(L154&gt;=Settings!$B$2,"Review","Keep")))))</f>
        <v/>
      </c>
      <c r="N154">
        <f>IF(ISNUMBER(L154),RANK(L154,$L$2:$L$200)+COUNTIF($L$2:L154,L154)-1,"")</f>
        <v/>
      </c>
      <c r="O154">
        <f>IF(M154="Replace / automate candidate",N(C154),0)</f>
        <v/>
      </c>
    </row>
    <row r="155">
      <c r="L155">
        <f>IF(OR(H155="",I155="",J155="",K155=""),"",IF(J155+K155=0,"CHECK INPUT",H155*I155/(J155+K155)))</f>
        <v/>
      </c>
      <c r="M155">
        <f>IF(L155="","",IF(L155="CHECK INPUT","CHECK INPUT",IF(G155="Y","Do not replace without sign-off",IF(L155&gt;=Settings!$B$1,"Replace / automate candidate",IF(L155&gt;=Settings!$B$2,"Review","Keep")))))</f>
        <v/>
      </c>
      <c r="N155">
        <f>IF(ISNUMBER(L155),RANK(L155,$L$2:$L$200)+COUNTIF($L$2:L155,L155)-1,"")</f>
        <v/>
      </c>
      <c r="O155">
        <f>IF(M155="Replace / automate candidate",N(C155),0)</f>
        <v/>
      </c>
    </row>
    <row r="156">
      <c r="L156">
        <f>IF(OR(H156="",I156="",J156="",K156=""),"",IF(J156+K156=0,"CHECK INPUT",H156*I156/(J156+K156)))</f>
        <v/>
      </c>
      <c r="M156">
        <f>IF(L156="","",IF(L156="CHECK INPUT","CHECK INPUT",IF(G156="Y","Do not replace without sign-off",IF(L156&gt;=Settings!$B$1,"Replace / automate candidate",IF(L156&gt;=Settings!$B$2,"Review","Keep")))))</f>
        <v/>
      </c>
      <c r="N156">
        <f>IF(ISNUMBER(L156),RANK(L156,$L$2:$L$200)+COUNTIF($L$2:L156,L156)-1,"")</f>
        <v/>
      </c>
      <c r="O156">
        <f>IF(M156="Replace / automate candidate",N(C156),0)</f>
        <v/>
      </c>
    </row>
    <row r="157">
      <c r="L157">
        <f>IF(OR(H157="",I157="",J157="",K157=""),"",IF(J157+K157=0,"CHECK INPUT",H157*I157/(J157+K157)))</f>
        <v/>
      </c>
      <c r="M157">
        <f>IF(L157="","",IF(L157="CHECK INPUT","CHECK INPUT",IF(G157="Y","Do not replace without sign-off",IF(L157&gt;=Settings!$B$1,"Replace / automate candidate",IF(L157&gt;=Settings!$B$2,"Review","Keep")))))</f>
        <v/>
      </c>
      <c r="N157">
        <f>IF(ISNUMBER(L157),RANK(L157,$L$2:$L$200)+COUNTIF($L$2:L157,L157)-1,"")</f>
        <v/>
      </c>
      <c r="O157">
        <f>IF(M157="Replace / automate candidate",N(C157),0)</f>
        <v/>
      </c>
    </row>
    <row r="158">
      <c r="L158">
        <f>IF(OR(H158="",I158="",J158="",K158=""),"",IF(J158+K158=0,"CHECK INPUT",H158*I158/(J158+K158)))</f>
        <v/>
      </c>
      <c r="M158">
        <f>IF(L158="","",IF(L158="CHECK INPUT","CHECK INPUT",IF(G158="Y","Do not replace without sign-off",IF(L158&gt;=Settings!$B$1,"Replace / automate candidate",IF(L158&gt;=Settings!$B$2,"Review","Keep")))))</f>
        <v/>
      </c>
      <c r="N158">
        <f>IF(ISNUMBER(L158),RANK(L158,$L$2:$L$200)+COUNTIF($L$2:L158,L158)-1,"")</f>
        <v/>
      </c>
      <c r="O158">
        <f>IF(M158="Replace / automate candidate",N(C158),0)</f>
        <v/>
      </c>
    </row>
    <row r="159">
      <c r="L159">
        <f>IF(OR(H159="",I159="",J159="",K159=""),"",IF(J159+K159=0,"CHECK INPUT",H159*I159/(J159+K159)))</f>
        <v/>
      </c>
      <c r="M159">
        <f>IF(L159="","",IF(L159="CHECK INPUT","CHECK INPUT",IF(G159="Y","Do not replace without sign-off",IF(L159&gt;=Settings!$B$1,"Replace / automate candidate",IF(L159&gt;=Settings!$B$2,"Review","Keep")))))</f>
        <v/>
      </c>
      <c r="N159">
        <f>IF(ISNUMBER(L159),RANK(L159,$L$2:$L$200)+COUNTIF($L$2:L159,L159)-1,"")</f>
        <v/>
      </c>
      <c r="O159">
        <f>IF(M159="Replace / automate candidate",N(C159),0)</f>
        <v/>
      </c>
    </row>
    <row r="160">
      <c r="L160">
        <f>IF(OR(H160="",I160="",J160="",K160=""),"",IF(J160+K160=0,"CHECK INPUT",H160*I160/(J160+K160)))</f>
        <v/>
      </c>
      <c r="M160">
        <f>IF(L160="","",IF(L160="CHECK INPUT","CHECK INPUT",IF(G160="Y","Do not replace without sign-off",IF(L160&gt;=Settings!$B$1,"Replace / automate candidate",IF(L160&gt;=Settings!$B$2,"Review","Keep")))))</f>
        <v/>
      </c>
      <c r="N160">
        <f>IF(ISNUMBER(L160),RANK(L160,$L$2:$L$200)+COUNTIF($L$2:L160,L160)-1,"")</f>
        <v/>
      </c>
      <c r="O160">
        <f>IF(M160="Replace / automate candidate",N(C160),0)</f>
        <v/>
      </c>
    </row>
    <row r="161">
      <c r="L161">
        <f>IF(OR(H161="",I161="",J161="",K161=""),"",IF(J161+K161=0,"CHECK INPUT",H161*I161/(J161+K161)))</f>
        <v/>
      </c>
      <c r="M161">
        <f>IF(L161="","",IF(L161="CHECK INPUT","CHECK INPUT",IF(G161="Y","Do not replace without sign-off",IF(L161&gt;=Settings!$B$1,"Replace / automate candidate",IF(L161&gt;=Settings!$B$2,"Review","Keep")))))</f>
        <v/>
      </c>
      <c r="N161">
        <f>IF(ISNUMBER(L161),RANK(L161,$L$2:$L$200)+COUNTIF($L$2:L161,L161)-1,"")</f>
        <v/>
      </c>
      <c r="O161">
        <f>IF(M161="Replace / automate candidate",N(C161),0)</f>
        <v/>
      </c>
    </row>
    <row r="162">
      <c r="L162">
        <f>IF(OR(H162="",I162="",J162="",K162=""),"",IF(J162+K162=0,"CHECK INPUT",H162*I162/(J162+K162)))</f>
        <v/>
      </c>
      <c r="M162">
        <f>IF(L162="","",IF(L162="CHECK INPUT","CHECK INPUT",IF(G162="Y","Do not replace without sign-off",IF(L162&gt;=Settings!$B$1,"Replace / automate candidate",IF(L162&gt;=Settings!$B$2,"Review","Keep")))))</f>
        <v/>
      </c>
      <c r="N162">
        <f>IF(ISNUMBER(L162),RANK(L162,$L$2:$L$200)+COUNTIF($L$2:L162,L162)-1,"")</f>
        <v/>
      </c>
      <c r="O162">
        <f>IF(M162="Replace / automate candidate",N(C162),0)</f>
        <v/>
      </c>
    </row>
    <row r="163">
      <c r="L163">
        <f>IF(OR(H163="",I163="",J163="",K163=""),"",IF(J163+K163=0,"CHECK INPUT",H163*I163/(J163+K163)))</f>
        <v/>
      </c>
      <c r="M163">
        <f>IF(L163="","",IF(L163="CHECK INPUT","CHECK INPUT",IF(G163="Y","Do not replace without sign-off",IF(L163&gt;=Settings!$B$1,"Replace / automate candidate",IF(L163&gt;=Settings!$B$2,"Review","Keep")))))</f>
        <v/>
      </c>
      <c r="N163">
        <f>IF(ISNUMBER(L163),RANK(L163,$L$2:$L$200)+COUNTIF($L$2:L163,L163)-1,"")</f>
        <v/>
      </c>
      <c r="O163">
        <f>IF(M163="Replace / automate candidate",N(C163),0)</f>
        <v/>
      </c>
    </row>
    <row r="164">
      <c r="L164">
        <f>IF(OR(H164="",I164="",J164="",K164=""),"",IF(J164+K164=0,"CHECK INPUT",H164*I164/(J164+K164)))</f>
        <v/>
      </c>
      <c r="M164">
        <f>IF(L164="","",IF(L164="CHECK INPUT","CHECK INPUT",IF(G164="Y","Do not replace without sign-off",IF(L164&gt;=Settings!$B$1,"Replace / automate candidate",IF(L164&gt;=Settings!$B$2,"Review","Keep")))))</f>
        <v/>
      </c>
      <c r="N164">
        <f>IF(ISNUMBER(L164),RANK(L164,$L$2:$L$200)+COUNTIF($L$2:L164,L164)-1,"")</f>
        <v/>
      </c>
      <c r="O164">
        <f>IF(M164="Replace / automate candidate",N(C164),0)</f>
        <v/>
      </c>
    </row>
    <row r="165">
      <c r="L165">
        <f>IF(OR(H165="",I165="",J165="",K165=""),"",IF(J165+K165=0,"CHECK INPUT",H165*I165/(J165+K165)))</f>
        <v/>
      </c>
      <c r="M165">
        <f>IF(L165="","",IF(L165="CHECK INPUT","CHECK INPUT",IF(G165="Y","Do not replace without sign-off",IF(L165&gt;=Settings!$B$1,"Replace / automate candidate",IF(L165&gt;=Settings!$B$2,"Review","Keep")))))</f>
        <v/>
      </c>
      <c r="N165">
        <f>IF(ISNUMBER(L165),RANK(L165,$L$2:$L$200)+COUNTIF($L$2:L165,L165)-1,"")</f>
        <v/>
      </c>
      <c r="O165">
        <f>IF(M165="Replace / automate candidate",N(C165),0)</f>
        <v/>
      </c>
    </row>
    <row r="166">
      <c r="L166">
        <f>IF(OR(H166="",I166="",J166="",K166=""),"",IF(J166+K166=0,"CHECK INPUT",H166*I166/(J166+K166)))</f>
        <v/>
      </c>
      <c r="M166">
        <f>IF(L166="","",IF(L166="CHECK INPUT","CHECK INPUT",IF(G166="Y","Do not replace without sign-off",IF(L166&gt;=Settings!$B$1,"Replace / automate candidate",IF(L166&gt;=Settings!$B$2,"Review","Keep")))))</f>
        <v/>
      </c>
      <c r="N166">
        <f>IF(ISNUMBER(L166),RANK(L166,$L$2:$L$200)+COUNTIF($L$2:L166,L166)-1,"")</f>
        <v/>
      </c>
      <c r="O166">
        <f>IF(M166="Replace / automate candidate",N(C166),0)</f>
        <v/>
      </c>
    </row>
    <row r="167">
      <c r="L167">
        <f>IF(OR(H167="",I167="",J167="",K167=""),"",IF(J167+K167=0,"CHECK INPUT",H167*I167/(J167+K167)))</f>
        <v/>
      </c>
      <c r="M167">
        <f>IF(L167="","",IF(L167="CHECK INPUT","CHECK INPUT",IF(G167="Y","Do not replace without sign-off",IF(L167&gt;=Settings!$B$1,"Replace / automate candidate",IF(L167&gt;=Settings!$B$2,"Review","Keep")))))</f>
        <v/>
      </c>
      <c r="N167">
        <f>IF(ISNUMBER(L167),RANK(L167,$L$2:$L$200)+COUNTIF($L$2:L167,L167)-1,"")</f>
        <v/>
      </c>
      <c r="O167">
        <f>IF(M167="Replace / automate candidate",N(C167),0)</f>
        <v/>
      </c>
    </row>
    <row r="168">
      <c r="L168">
        <f>IF(OR(H168="",I168="",J168="",K168=""),"",IF(J168+K168=0,"CHECK INPUT",H168*I168/(J168+K168)))</f>
        <v/>
      </c>
      <c r="M168">
        <f>IF(L168="","",IF(L168="CHECK INPUT","CHECK INPUT",IF(G168="Y","Do not replace without sign-off",IF(L168&gt;=Settings!$B$1,"Replace / automate candidate",IF(L168&gt;=Settings!$B$2,"Review","Keep")))))</f>
        <v/>
      </c>
      <c r="N168">
        <f>IF(ISNUMBER(L168),RANK(L168,$L$2:$L$200)+COUNTIF($L$2:L168,L168)-1,"")</f>
        <v/>
      </c>
      <c r="O168">
        <f>IF(M168="Replace / automate candidate",N(C168),0)</f>
        <v/>
      </c>
    </row>
    <row r="169">
      <c r="L169">
        <f>IF(OR(H169="",I169="",J169="",K169=""),"",IF(J169+K169=0,"CHECK INPUT",H169*I169/(J169+K169)))</f>
        <v/>
      </c>
      <c r="M169">
        <f>IF(L169="","",IF(L169="CHECK INPUT","CHECK INPUT",IF(G169="Y","Do not replace without sign-off",IF(L169&gt;=Settings!$B$1,"Replace / automate candidate",IF(L169&gt;=Settings!$B$2,"Review","Keep")))))</f>
        <v/>
      </c>
      <c r="N169">
        <f>IF(ISNUMBER(L169),RANK(L169,$L$2:$L$200)+COUNTIF($L$2:L169,L169)-1,"")</f>
        <v/>
      </c>
      <c r="O169">
        <f>IF(M169="Replace / automate candidate",N(C169),0)</f>
        <v/>
      </c>
    </row>
    <row r="170">
      <c r="L170">
        <f>IF(OR(H170="",I170="",J170="",K170=""),"",IF(J170+K170=0,"CHECK INPUT",H170*I170/(J170+K170)))</f>
        <v/>
      </c>
      <c r="M170">
        <f>IF(L170="","",IF(L170="CHECK INPUT","CHECK INPUT",IF(G170="Y","Do not replace without sign-off",IF(L170&gt;=Settings!$B$1,"Replace / automate candidate",IF(L170&gt;=Settings!$B$2,"Review","Keep")))))</f>
        <v/>
      </c>
      <c r="N170">
        <f>IF(ISNUMBER(L170),RANK(L170,$L$2:$L$200)+COUNTIF($L$2:L170,L170)-1,"")</f>
        <v/>
      </c>
      <c r="O170">
        <f>IF(M170="Replace / automate candidate",N(C170),0)</f>
        <v/>
      </c>
    </row>
    <row r="171">
      <c r="L171">
        <f>IF(OR(H171="",I171="",J171="",K171=""),"",IF(J171+K171=0,"CHECK INPUT",H171*I171/(J171+K171)))</f>
        <v/>
      </c>
      <c r="M171">
        <f>IF(L171="","",IF(L171="CHECK INPUT","CHECK INPUT",IF(G171="Y","Do not replace without sign-off",IF(L171&gt;=Settings!$B$1,"Replace / automate candidate",IF(L171&gt;=Settings!$B$2,"Review","Keep")))))</f>
        <v/>
      </c>
      <c r="N171">
        <f>IF(ISNUMBER(L171),RANK(L171,$L$2:$L$200)+COUNTIF($L$2:L171,L171)-1,"")</f>
        <v/>
      </c>
      <c r="O171">
        <f>IF(M171="Replace / automate candidate",N(C171),0)</f>
        <v/>
      </c>
    </row>
    <row r="172">
      <c r="L172">
        <f>IF(OR(H172="",I172="",J172="",K172=""),"",IF(J172+K172=0,"CHECK INPUT",H172*I172/(J172+K172)))</f>
        <v/>
      </c>
      <c r="M172">
        <f>IF(L172="","",IF(L172="CHECK INPUT","CHECK INPUT",IF(G172="Y","Do not replace without sign-off",IF(L172&gt;=Settings!$B$1,"Replace / automate candidate",IF(L172&gt;=Settings!$B$2,"Review","Keep")))))</f>
        <v/>
      </c>
      <c r="N172">
        <f>IF(ISNUMBER(L172),RANK(L172,$L$2:$L$200)+COUNTIF($L$2:L172,L172)-1,"")</f>
        <v/>
      </c>
      <c r="O172">
        <f>IF(M172="Replace / automate candidate",N(C172),0)</f>
        <v/>
      </c>
    </row>
    <row r="173">
      <c r="L173">
        <f>IF(OR(H173="",I173="",J173="",K173=""),"",IF(J173+K173=0,"CHECK INPUT",H173*I173/(J173+K173)))</f>
        <v/>
      </c>
      <c r="M173">
        <f>IF(L173="","",IF(L173="CHECK INPUT","CHECK INPUT",IF(G173="Y","Do not replace without sign-off",IF(L173&gt;=Settings!$B$1,"Replace / automate candidate",IF(L173&gt;=Settings!$B$2,"Review","Keep")))))</f>
        <v/>
      </c>
      <c r="N173">
        <f>IF(ISNUMBER(L173),RANK(L173,$L$2:$L$200)+COUNTIF($L$2:L173,L173)-1,"")</f>
        <v/>
      </c>
      <c r="O173">
        <f>IF(M173="Replace / automate candidate",N(C173),0)</f>
        <v/>
      </c>
    </row>
    <row r="174">
      <c r="L174">
        <f>IF(OR(H174="",I174="",J174="",K174=""),"",IF(J174+K174=0,"CHECK INPUT",H174*I174/(J174+K174)))</f>
        <v/>
      </c>
      <c r="M174">
        <f>IF(L174="","",IF(L174="CHECK INPUT","CHECK INPUT",IF(G174="Y","Do not replace without sign-off",IF(L174&gt;=Settings!$B$1,"Replace / automate candidate",IF(L174&gt;=Settings!$B$2,"Review","Keep")))))</f>
        <v/>
      </c>
      <c r="N174">
        <f>IF(ISNUMBER(L174),RANK(L174,$L$2:$L$200)+COUNTIF($L$2:L174,L174)-1,"")</f>
        <v/>
      </c>
      <c r="O174">
        <f>IF(M174="Replace / automate candidate",N(C174),0)</f>
        <v/>
      </c>
    </row>
    <row r="175">
      <c r="L175">
        <f>IF(OR(H175="",I175="",J175="",K175=""),"",IF(J175+K175=0,"CHECK INPUT",H175*I175/(J175+K175)))</f>
        <v/>
      </c>
      <c r="M175">
        <f>IF(L175="","",IF(L175="CHECK INPUT","CHECK INPUT",IF(G175="Y","Do not replace without sign-off",IF(L175&gt;=Settings!$B$1,"Replace / automate candidate",IF(L175&gt;=Settings!$B$2,"Review","Keep")))))</f>
        <v/>
      </c>
      <c r="N175">
        <f>IF(ISNUMBER(L175),RANK(L175,$L$2:$L$200)+COUNTIF($L$2:L175,L175)-1,"")</f>
        <v/>
      </c>
      <c r="O175">
        <f>IF(M175="Replace / automate candidate",N(C175),0)</f>
        <v/>
      </c>
    </row>
    <row r="176">
      <c r="L176">
        <f>IF(OR(H176="",I176="",J176="",K176=""),"",IF(J176+K176=0,"CHECK INPUT",H176*I176/(J176+K176)))</f>
        <v/>
      </c>
      <c r="M176">
        <f>IF(L176="","",IF(L176="CHECK INPUT","CHECK INPUT",IF(G176="Y","Do not replace without sign-off",IF(L176&gt;=Settings!$B$1,"Replace / automate candidate",IF(L176&gt;=Settings!$B$2,"Review","Keep")))))</f>
        <v/>
      </c>
      <c r="N176">
        <f>IF(ISNUMBER(L176),RANK(L176,$L$2:$L$200)+COUNTIF($L$2:L176,L176)-1,"")</f>
        <v/>
      </c>
      <c r="O176">
        <f>IF(M176="Replace / automate candidate",N(C176),0)</f>
        <v/>
      </c>
    </row>
    <row r="177">
      <c r="L177">
        <f>IF(OR(H177="",I177="",J177="",K177=""),"",IF(J177+K177=0,"CHECK INPUT",H177*I177/(J177+K177)))</f>
        <v/>
      </c>
      <c r="M177">
        <f>IF(L177="","",IF(L177="CHECK INPUT","CHECK INPUT",IF(G177="Y","Do not replace without sign-off",IF(L177&gt;=Settings!$B$1,"Replace / automate candidate",IF(L177&gt;=Settings!$B$2,"Review","Keep")))))</f>
        <v/>
      </c>
      <c r="N177">
        <f>IF(ISNUMBER(L177),RANK(L177,$L$2:$L$200)+COUNTIF($L$2:L177,L177)-1,"")</f>
        <v/>
      </c>
      <c r="O177">
        <f>IF(M177="Replace / automate candidate",N(C177),0)</f>
        <v/>
      </c>
    </row>
    <row r="178">
      <c r="L178">
        <f>IF(OR(H178="",I178="",J178="",K178=""),"",IF(J178+K178=0,"CHECK INPUT",H178*I178/(J178+K178)))</f>
        <v/>
      </c>
      <c r="M178">
        <f>IF(L178="","",IF(L178="CHECK INPUT","CHECK INPUT",IF(G178="Y","Do not replace without sign-off",IF(L178&gt;=Settings!$B$1,"Replace / automate candidate",IF(L178&gt;=Settings!$B$2,"Review","Keep")))))</f>
        <v/>
      </c>
      <c r="N178">
        <f>IF(ISNUMBER(L178),RANK(L178,$L$2:$L$200)+COUNTIF($L$2:L178,L178)-1,"")</f>
        <v/>
      </c>
      <c r="O178">
        <f>IF(M178="Replace / automate candidate",N(C178),0)</f>
        <v/>
      </c>
    </row>
    <row r="179">
      <c r="L179">
        <f>IF(OR(H179="",I179="",J179="",K179=""),"",IF(J179+K179=0,"CHECK INPUT",H179*I179/(J179+K179)))</f>
        <v/>
      </c>
      <c r="M179">
        <f>IF(L179="","",IF(L179="CHECK INPUT","CHECK INPUT",IF(G179="Y","Do not replace without sign-off",IF(L179&gt;=Settings!$B$1,"Replace / automate candidate",IF(L179&gt;=Settings!$B$2,"Review","Keep")))))</f>
        <v/>
      </c>
      <c r="N179">
        <f>IF(ISNUMBER(L179),RANK(L179,$L$2:$L$200)+COUNTIF($L$2:L179,L179)-1,"")</f>
        <v/>
      </c>
      <c r="O179">
        <f>IF(M179="Replace / automate candidate",N(C179),0)</f>
        <v/>
      </c>
    </row>
    <row r="180">
      <c r="L180">
        <f>IF(OR(H180="",I180="",J180="",K180=""),"",IF(J180+K180=0,"CHECK INPUT",H180*I180/(J180+K180)))</f>
        <v/>
      </c>
      <c r="M180">
        <f>IF(L180="","",IF(L180="CHECK INPUT","CHECK INPUT",IF(G180="Y","Do not replace without sign-off",IF(L180&gt;=Settings!$B$1,"Replace / automate candidate",IF(L180&gt;=Settings!$B$2,"Review","Keep")))))</f>
        <v/>
      </c>
      <c r="N180">
        <f>IF(ISNUMBER(L180),RANK(L180,$L$2:$L$200)+COUNTIF($L$2:L180,L180)-1,"")</f>
        <v/>
      </c>
      <c r="O180">
        <f>IF(M180="Replace / automate candidate",N(C180),0)</f>
        <v/>
      </c>
    </row>
    <row r="181">
      <c r="L181">
        <f>IF(OR(H181="",I181="",J181="",K181=""),"",IF(J181+K181=0,"CHECK INPUT",H181*I181/(J181+K181)))</f>
        <v/>
      </c>
      <c r="M181">
        <f>IF(L181="","",IF(L181="CHECK INPUT","CHECK INPUT",IF(G181="Y","Do not replace without sign-off",IF(L181&gt;=Settings!$B$1,"Replace / automate candidate",IF(L181&gt;=Settings!$B$2,"Review","Keep")))))</f>
        <v/>
      </c>
      <c r="N181">
        <f>IF(ISNUMBER(L181),RANK(L181,$L$2:$L$200)+COUNTIF($L$2:L181,L181)-1,"")</f>
        <v/>
      </c>
      <c r="O181">
        <f>IF(M181="Replace / automate candidate",N(C181),0)</f>
        <v/>
      </c>
    </row>
    <row r="182">
      <c r="L182">
        <f>IF(OR(H182="",I182="",J182="",K182=""),"",IF(J182+K182=0,"CHECK INPUT",H182*I182/(J182+K182)))</f>
        <v/>
      </c>
      <c r="M182">
        <f>IF(L182="","",IF(L182="CHECK INPUT","CHECK INPUT",IF(G182="Y","Do not replace without sign-off",IF(L182&gt;=Settings!$B$1,"Replace / automate candidate",IF(L182&gt;=Settings!$B$2,"Review","Keep")))))</f>
        <v/>
      </c>
      <c r="N182">
        <f>IF(ISNUMBER(L182),RANK(L182,$L$2:$L$200)+COUNTIF($L$2:L182,L182)-1,"")</f>
        <v/>
      </c>
      <c r="O182">
        <f>IF(M182="Replace / automate candidate",N(C182),0)</f>
        <v/>
      </c>
    </row>
    <row r="183">
      <c r="L183">
        <f>IF(OR(H183="",I183="",J183="",K183=""),"",IF(J183+K183=0,"CHECK INPUT",H183*I183/(J183+K183)))</f>
        <v/>
      </c>
      <c r="M183">
        <f>IF(L183="","",IF(L183="CHECK INPUT","CHECK INPUT",IF(G183="Y","Do not replace without sign-off",IF(L183&gt;=Settings!$B$1,"Replace / automate candidate",IF(L183&gt;=Settings!$B$2,"Review","Keep")))))</f>
        <v/>
      </c>
      <c r="N183">
        <f>IF(ISNUMBER(L183),RANK(L183,$L$2:$L$200)+COUNTIF($L$2:L183,L183)-1,"")</f>
        <v/>
      </c>
      <c r="O183">
        <f>IF(M183="Replace / automate candidate",N(C183),0)</f>
        <v/>
      </c>
    </row>
    <row r="184">
      <c r="L184">
        <f>IF(OR(H184="",I184="",J184="",K184=""),"",IF(J184+K184=0,"CHECK INPUT",H184*I184/(J184+K184)))</f>
        <v/>
      </c>
      <c r="M184">
        <f>IF(L184="","",IF(L184="CHECK INPUT","CHECK INPUT",IF(G184="Y","Do not replace without sign-off",IF(L184&gt;=Settings!$B$1,"Replace / automate candidate",IF(L184&gt;=Settings!$B$2,"Review","Keep")))))</f>
        <v/>
      </c>
      <c r="N184">
        <f>IF(ISNUMBER(L184),RANK(L184,$L$2:$L$200)+COUNTIF($L$2:L184,L184)-1,"")</f>
        <v/>
      </c>
      <c r="O184">
        <f>IF(M184="Replace / automate candidate",N(C184),0)</f>
        <v/>
      </c>
    </row>
    <row r="185">
      <c r="L185">
        <f>IF(OR(H185="",I185="",J185="",K185=""),"",IF(J185+K185=0,"CHECK INPUT",H185*I185/(J185+K185)))</f>
        <v/>
      </c>
      <c r="M185">
        <f>IF(L185="","",IF(L185="CHECK INPUT","CHECK INPUT",IF(G185="Y","Do not replace without sign-off",IF(L185&gt;=Settings!$B$1,"Replace / automate candidate",IF(L185&gt;=Settings!$B$2,"Review","Keep")))))</f>
        <v/>
      </c>
      <c r="N185">
        <f>IF(ISNUMBER(L185),RANK(L185,$L$2:$L$200)+COUNTIF($L$2:L185,L185)-1,"")</f>
        <v/>
      </c>
      <c r="O185">
        <f>IF(M185="Replace / automate candidate",N(C185),0)</f>
        <v/>
      </c>
    </row>
    <row r="186">
      <c r="L186">
        <f>IF(OR(H186="",I186="",J186="",K186=""),"",IF(J186+K186=0,"CHECK INPUT",H186*I186/(J186+K186)))</f>
        <v/>
      </c>
      <c r="M186">
        <f>IF(L186="","",IF(L186="CHECK INPUT","CHECK INPUT",IF(G186="Y","Do not replace without sign-off",IF(L186&gt;=Settings!$B$1,"Replace / automate candidate",IF(L186&gt;=Settings!$B$2,"Review","Keep")))))</f>
        <v/>
      </c>
      <c r="N186">
        <f>IF(ISNUMBER(L186),RANK(L186,$L$2:$L$200)+COUNTIF($L$2:L186,L186)-1,"")</f>
        <v/>
      </c>
      <c r="O186">
        <f>IF(M186="Replace / automate candidate",N(C186),0)</f>
        <v/>
      </c>
    </row>
    <row r="187">
      <c r="L187">
        <f>IF(OR(H187="",I187="",J187="",K187=""),"",IF(J187+K187=0,"CHECK INPUT",H187*I187/(J187+K187)))</f>
        <v/>
      </c>
      <c r="M187">
        <f>IF(L187="","",IF(L187="CHECK INPUT","CHECK INPUT",IF(G187="Y","Do not replace without sign-off",IF(L187&gt;=Settings!$B$1,"Replace / automate candidate",IF(L187&gt;=Settings!$B$2,"Review","Keep")))))</f>
        <v/>
      </c>
      <c r="N187">
        <f>IF(ISNUMBER(L187),RANK(L187,$L$2:$L$200)+COUNTIF($L$2:L187,L187)-1,"")</f>
        <v/>
      </c>
      <c r="O187">
        <f>IF(M187="Replace / automate candidate",N(C187),0)</f>
        <v/>
      </c>
    </row>
    <row r="188">
      <c r="L188">
        <f>IF(OR(H188="",I188="",J188="",K188=""),"",IF(J188+K188=0,"CHECK INPUT",H188*I188/(J188+K188)))</f>
        <v/>
      </c>
      <c r="M188">
        <f>IF(L188="","",IF(L188="CHECK INPUT","CHECK INPUT",IF(G188="Y","Do not replace without sign-off",IF(L188&gt;=Settings!$B$1,"Replace / automate candidate",IF(L188&gt;=Settings!$B$2,"Review","Keep")))))</f>
        <v/>
      </c>
      <c r="N188">
        <f>IF(ISNUMBER(L188),RANK(L188,$L$2:$L$200)+COUNTIF($L$2:L188,L188)-1,"")</f>
        <v/>
      </c>
      <c r="O188">
        <f>IF(M188="Replace / automate candidate",N(C188),0)</f>
        <v/>
      </c>
    </row>
    <row r="189">
      <c r="L189">
        <f>IF(OR(H189="",I189="",J189="",K189=""),"",IF(J189+K189=0,"CHECK INPUT",H189*I189/(J189+K189)))</f>
        <v/>
      </c>
      <c r="M189">
        <f>IF(L189="","",IF(L189="CHECK INPUT","CHECK INPUT",IF(G189="Y","Do not replace without sign-off",IF(L189&gt;=Settings!$B$1,"Replace / automate candidate",IF(L189&gt;=Settings!$B$2,"Review","Keep")))))</f>
        <v/>
      </c>
      <c r="N189">
        <f>IF(ISNUMBER(L189),RANK(L189,$L$2:$L$200)+COUNTIF($L$2:L189,L189)-1,"")</f>
        <v/>
      </c>
      <c r="O189">
        <f>IF(M189="Replace / automate candidate",N(C189),0)</f>
        <v/>
      </c>
    </row>
    <row r="190">
      <c r="L190">
        <f>IF(OR(H190="",I190="",J190="",K190=""),"",IF(J190+K190=0,"CHECK INPUT",H190*I190/(J190+K190)))</f>
        <v/>
      </c>
      <c r="M190">
        <f>IF(L190="","",IF(L190="CHECK INPUT","CHECK INPUT",IF(G190="Y","Do not replace without sign-off",IF(L190&gt;=Settings!$B$1,"Replace / automate candidate",IF(L190&gt;=Settings!$B$2,"Review","Keep")))))</f>
        <v/>
      </c>
      <c r="N190">
        <f>IF(ISNUMBER(L190),RANK(L190,$L$2:$L$200)+COUNTIF($L$2:L190,L190)-1,"")</f>
        <v/>
      </c>
      <c r="O190">
        <f>IF(M190="Replace / automate candidate",N(C190),0)</f>
        <v/>
      </c>
    </row>
    <row r="191">
      <c r="L191">
        <f>IF(OR(H191="",I191="",J191="",K191=""),"",IF(J191+K191=0,"CHECK INPUT",H191*I191/(J191+K191)))</f>
        <v/>
      </c>
      <c r="M191">
        <f>IF(L191="","",IF(L191="CHECK INPUT","CHECK INPUT",IF(G191="Y","Do not replace without sign-off",IF(L191&gt;=Settings!$B$1,"Replace / automate candidate",IF(L191&gt;=Settings!$B$2,"Review","Keep")))))</f>
        <v/>
      </c>
      <c r="N191">
        <f>IF(ISNUMBER(L191),RANK(L191,$L$2:$L$200)+COUNTIF($L$2:L191,L191)-1,"")</f>
        <v/>
      </c>
      <c r="O191">
        <f>IF(M191="Replace / automate candidate",N(C191),0)</f>
        <v/>
      </c>
    </row>
    <row r="192">
      <c r="L192">
        <f>IF(OR(H192="",I192="",J192="",K192=""),"",IF(J192+K192=0,"CHECK INPUT",H192*I192/(J192+K192)))</f>
        <v/>
      </c>
      <c r="M192">
        <f>IF(L192="","",IF(L192="CHECK INPUT","CHECK INPUT",IF(G192="Y","Do not replace without sign-off",IF(L192&gt;=Settings!$B$1,"Replace / automate candidate",IF(L192&gt;=Settings!$B$2,"Review","Keep")))))</f>
        <v/>
      </c>
      <c r="N192">
        <f>IF(ISNUMBER(L192),RANK(L192,$L$2:$L$200)+COUNTIF($L$2:L192,L192)-1,"")</f>
        <v/>
      </c>
      <c r="O192">
        <f>IF(M192="Replace / automate candidate",N(C192),0)</f>
        <v/>
      </c>
    </row>
    <row r="193">
      <c r="L193">
        <f>IF(OR(H193="",I193="",J193="",K193=""),"",IF(J193+K193=0,"CHECK INPUT",H193*I193/(J193+K193)))</f>
        <v/>
      </c>
      <c r="M193">
        <f>IF(L193="","",IF(L193="CHECK INPUT","CHECK INPUT",IF(G193="Y","Do not replace without sign-off",IF(L193&gt;=Settings!$B$1,"Replace / automate candidate",IF(L193&gt;=Settings!$B$2,"Review","Keep")))))</f>
        <v/>
      </c>
      <c r="N193">
        <f>IF(ISNUMBER(L193),RANK(L193,$L$2:$L$200)+COUNTIF($L$2:L193,L193)-1,"")</f>
        <v/>
      </c>
      <c r="O193">
        <f>IF(M193="Replace / automate candidate",N(C193),0)</f>
        <v/>
      </c>
    </row>
    <row r="194">
      <c r="L194">
        <f>IF(OR(H194="",I194="",J194="",K194=""),"",IF(J194+K194=0,"CHECK INPUT",H194*I194/(J194+K194)))</f>
        <v/>
      </c>
      <c r="M194">
        <f>IF(L194="","",IF(L194="CHECK INPUT","CHECK INPUT",IF(G194="Y","Do not replace without sign-off",IF(L194&gt;=Settings!$B$1,"Replace / automate candidate",IF(L194&gt;=Settings!$B$2,"Review","Keep")))))</f>
        <v/>
      </c>
      <c r="N194">
        <f>IF(ISNUMBER(L194),RANK(L194,$L$2:$L$200)+COUNTIF($L$2:L194,L194)-1,"")</f>
        <v/>
      </c>
      <c r="O194">
        <f>IF(M194="Replace / automate candidate",N(C194),0)</f>
        <v/>
      </c>
    </row>
    <row r="195">
      <c r="L195">
        <f>IF(OR(H195="",I195="",J195="",K195=""),"",IF(J195+K195=0,"CHECK INPUT",H195*I195/(J195+K195)))</f>
        <v/>
      </c>
      <c r="M195">
        <f>IF(L195="","",IF(L195="CHECK INPUT","CHECK INPUT",IF(G195="Y","Do not replace without sign-off",IF(L195&gt;=Settings!$B$1,"Replace / automate candidate",IF(L195&gt;=Settings!$B$2,"Review","Keep")))))</f>
        <v/>
      </c>
      <c r="N195">
        <f>IF(ISNUMBER(L195),RANK(L195,$L$2:$L$200)+COUNTIF($L$2:L195,L195)-1,"")</f>
        <v/>
      </c>
      <c r="O195">
        <f>IF(M195="Replace / automate candidate",N(C195),0)</f>
        <v/>
      </c>
    </row>
    <row r="196">
      <c r="L196">
        <f>IF(OR(H196="",I196="",J196="",K196=""),"",IF(J196+K196=0,"CHECK INPUT",H196*I196/(J196+K196)))</f>
        <v/>
      </c>
      <c r="M196">
        <f>IF(L196="","",IF(L196="CHECK INPUT","CHECK INPUT",IF(G196="Y","Do not replace without sign-off",IF(L196&gt;=Settings!$B$1,"Replace / automate candidate",IF(L196&gt;=Settings!$B$2,"Review","Keep")))))</f>
        <v/>
      </c>
      <c r="N196">
        <f>IF(ISNUMBER(L196),RANK(L196,$L$2:$L$200)+COUNTIF($L$2:L196,L196)-1,"")</f>
        <v/>
      </c>
      <c r="O196">
        <f>IF(M196="Replace / automate candidate",N(C196),0)</f>
        <v/>
      </c>
    </row>
    <row r="197">
      <c r="L197">
        <f>IF(OR(H197="",I197="",J197="",K197=""),"",IF(J197+K197=0,"CHECK INPUT",H197*I197/(J197+K197)))</f>
        <v/>
      </c>
      <c r="M197">
        <f>IF(L197="","",IF(L197="CHECK INPUT","CHECK INPUT",IF(G197="Y","Do not replace without sign-off",IF(L197&gt;=Settings!$B$1,"Replace / automate candidate",IF(L197&gt;=Settings!$B$2,"Review","Keep")))))</f>
        <v/>
      </c>
      <c r="N197">
        <f>IF(ISNUMBER(L197),RANK(L197,$L$2:$L$200)+COUNTIF($L$2:L197,L197)-1,"")</f>
        <v/>
      </c>
      <c r="O197">
        <f>IF(M197="Replace / automate candidate",N(C197),0)</f>
        <v/>
      </c>
    </row>
    <row r="198">
      <c r="L198">
        <f>IF(OR(H198="",I198="",J198="",K198=""),"",IF(J198+K198=0,"CHECK INPUT",H198*I198/(J198+K198)))</f>
        <v/>
      </c>
      <c r="M198">
        <f>IF(L198="","",IF(L198="CHECK INPUT","CHECK INPUT",IF(G198="Y","Do not replace without sign-off",IF(L198&gt;=Settings!$B$1,"Replace / automate candidate",IF(L198&gt;=Settings!$B$2,"Review","Keep")))))</f>
        <v/>
      </c>
      <c r="N198">
        <f>IF(ISNUMBER(L198),RANK(L198,$L$2:$L$200)+COUNTIF($L$2:L198,L198)-1,"")</f>
        <v/>
      </c>
      <c r="O198">
        <f>IF(M198="Replace / automate candidate",N(C198),0)</f>
        <v/>
      </c>
    </row>
    <row r="199">
      <c r="L199">
        <f>IF(OR(H199="",I199="",J199="",K199=""),"",IF(J199+K199=0,"CHECK INPUT",H199*I199/(J199+K199)))</f>
        <v/>
      </c>
      <c r="M199">
        <f>IF(L199="","",IF(L199="CHECK INPUT","CHECK INPUT",IF(G199="Y","Do not replace without sign-off",IF(L199&gt;=Settings!$B$1,"Replace / automate candidate",IF(L199&gt;=Settings!$B$2,"Review","Keep")))))</f>
        <v/>
      </c>
      <c r="N199">
        <f>IF(ISNUMBER(L199),RANK(L199,$L$2:$L$200)+COUNTIF($L$2:L199,L199)-1,"")</f>
        <v/>
      </c>
      <c r="O199">
        <f>IF(M199="Replace / automate candidate",N(C199),0)</f>
        <v/>
      </c>
    </row>
    <row r="200">
      <c r="L200">
        <f>IF(OR(H200="",I200="",J200="",K200=""),"",IF(J200+K200=0,"CHECK INPUT",H200*I200/(J200+K200)))</f>
        <v/>
      </c>
      <c r="M200">
        <f>IF(L200="","",IF(L200="CHECK INPUT","CHECK INPUT",IF(G200="Y","Do not replace without sign-off",IF(L200&gt;=Settings!$B$1,"Replace / automate candidate",IF(L200&gt;=Settings!$B$2,"Review","Keep")))))</f>
        <v/>
      </c>
      <c r="N200">
        <f>IF(ISNUMBER(L200),RANK(L200,$L$2:$L$200)+COUNTIF($L$2:L200,L200)-1,"")</f>
        <v/>
      </c>
      <c r="O200">
        <f>IF(M200="Replace / automate candidate",N(C200),0)</f>
        <v/>
      </c>
    </row>
  </sheetData>
  <dataValidations count="5">
    <dataValidation sqref="H2:H200" showDropDown="0" showInputMessage="0" showErrorMessage="1" allowBlank="0" error="Enter a number from 1 to 5" type="whole" operator="between">
      <formula1>1</formula1>
      <formula2>5</formula2>
    </dataValidation>
    <dataValidation sqref="J2:J200" showDropDown="0" showInputMessage="0" showErrorMessage="1" allowBlank="0" error="Enter a number from 1 to 5" type="whole" operator="between">
      <formula1>1</formula1>
      <formula2>5</formula2>
    </dataValidation>
    <dataValidation sqref="K2:K200" showDropDown="0" showInputMessage="0" showErrorMessage="1" allowBlank="0" error="Enter a number from 1 to 5" type="whole" operator="between">
      <formula1>1</formula1>
      <formula2>5</formula2>
    </dataValidation>
    <dataValidation sqref="I2:I200" showDropDown="0" showInputMessage="0" showErrorMessage="1" allowBlank="0" error="Enter a number from 0.1 to 1" type="decimal" operator="between">
      <formula1>0.1</formula1>
      <formula2>1</formula2>
    </dataValidation>
    <dataValidation sqref="G2:G200" showDropDown="0" showInputMessage="0" showErrorMessage="1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" customWidth="1" min="3" max="3"/>
    <col width="32" customWidth="1" min="4" max="4"/>
    <col width="16" customWidth="1" min="5" max="5"/>
    <col width="34" customWidth="1" min="7" max="7"/>
    <col width="12" customWidth="1" min="8" max="8"/>
  </cols>
  <sheetData>
    <row r="1">
      <c r="A1" s="2" t="inlineStr">
        <is>
          <t>Rank</t>
        </is>
      </c>
      <c r="B1" s="2" t="inlineStr">
        <is>
          <t>Tool</t>
        </is>
      </c>
      <c r="C1" s="2" t="inlineStr">
        <is>
          <t>Score</t>
        </is>
      </c>
      <c r="D1" s="2" t="inlineStr">
        <is>
          <t>Decision</t>
        </is>
      </c>
      <c r="E1" s="2" t="inlineStr">
        <is>
          <t>Monthly cost (USD)</t>
        </is>
      </c>
      <c r="G1" t="inlineStr">
        <is>
          <t>Total monthly spend (USD)</t>
        </is>
      </c>
      <c r="H1">
        <f>SUM(Inventory!C2:C200)</f>
        <v/>
      </c>
    </row>
    <row r="2">
      <c r="A2" t="n">
        <v>1</v>
      </c>
      <c r="B2">
        <f>IFERROR(INDEX(Inventory!$A$2:$A$200,MATCH(1,Inventory!$N$2:$N$200,0)),"")</f>
        <v/>
      </c>
      <c r="C2">
        <f>IFERROR(INDEX(Inventory!$L$2:$L$200,MATCH(1,Inventory!$N$2:$N$200,0)),"")</f>
        <v/>
      </c>
      <c r="D2">
        <f>IFERROR(INDEX(Inventory!$M$2:$M$200,MATCH(1,Inventory!$N$2:$N$200,0)),"")</f>
        <v/>
      </c>
      <c r="E2">
        <f>IFERROR(INDEX(Inventory!$C$2:$C$200,MATCH(1,Inventory!$N$2:$N$200,0)),"")</f>
        <v/>
      </c>
      <c r="G2" t="inlineStr">
        <is>
          <t>Spend on replace candidates (USD)</t>
        </is>
      </c>
      <c r="H2">
        <f>SUM(Inventory!O2:O200)</f>
        <v/>
      </c>
    </row>
    <row r="3">
      <c r="A3" t="n">
        <v>2</v>
      </c>
      <c r="B3">
        <f>IFERROR(INDEX(Inventory!$A$2:$A$200,MATCH(2,Inventory!$N$2:$N$200,0)),"")</f>
        <v/>
      </c>
      <c r="C3">
        <f>IFERROR(INDEX(Inventory!$L$2:$L$200,MATCH(2,Inventory!$N$2:$N$200,0)),"")</f>
        <v/>
      </c>
      <c r="D3">
        <f>IFERROR(INDEX(Inventory!$M$2:$M$200,MATCH(2,Inventory!$N$2:$N$200,0)),"")</f>
        <v/>
      </c>
      <c r="E3">
        <f>IFERROR(INDEX(Inventory!$C$2:$C$200,MATCH(2,Inventory!$N$2:$N$200,0)),"")</f>
        <v/>
      </c>
      <c r="G3" t="inlineStr">
        <is>
          <t>Savings exclude staff time, which is often the bigger gain.</t>
        </is>
      </c>
    </row>
    <row r="4">
      <c r="A4" t="n">
        <v>3</v>
      </c>
      <c r="B4">
        <f>IFERROR(INDEX(Inventory!$A$2:$A$200,MATCH(3,Inventory!$N$2:$N$200,0)),"")</f>
        <v/>
      </c>
      <c r="C4">
        <f>IFERROR(INDEX(Inventory!$L$2:$L$200,MATCH(3,Inventory!$N$2:$N$200,0)),"")</f>
        <v/>
      </c>
      <c r="D4">
        <f>IFERROR(INDEX(Inventory!$M$2:$M$200,MATCH(3,Inventory!$N$2:$N$200,0)),"")</f>
        <v/>
      </c>
      <c r="E4">
        <f>IFERROR(INDEX(Inventory!$C$2:$C$200,MATCH(3,Inventory!$N$2:$N$200,0)),"")</f>
        <v/>
      </c>
    </row>
    <row r="5">
      <c r="A5" t="n">
        <v>4</v>
      </c>
      <c r="B5">
        <f>IFERROR(INDEX(Inventory!$A$2:$A$200,MATCH(4,Inventory!$N$2:$N$200,0)),"")</f>
        <v/>
      </c>
      <c r="C5">
        <f>IFERROR(INDEX(Inventory!$L$2:$L$200,MATCH(4,Inventory!$N$2:$N$200,0)),"")</f>
        <v/>
      </c>
      <c r="D5">
        <f>IFERROR(INDEX(Inventory!$M$2:$M$200,MATCH(4,Inventory!$N$2:$N$200,0)),"")</f>
        <v/>
      </c>
      <c r="E5">
        <f>IFERROR(INDEX(Inventory!$C$2:$C$200,MATCH(4,Inventory!$N$2:$N$200,0)),"")</f>
        <v/>
      </c>
    </row>
    <row r="6">
      <c r="A6" t="n">
        <v>5</v>
      </c>
      <c r="B6">
        <f>IFERROR(INDEX(Inventory!$A$2:$A$200,MATCH(5,Inventory!$N$2:$N$200,0)),"")</f>
        <v/>
      </c>
      <c r="C6">
        <f>IFERROR(INDEX(Inventory!$L$2:$L$200,MATCH(5,Inventory!$N$2:$N$200,0)),"")</f>
        <v/>
      </c>
      <c r="D6">
        <f>IFERROR(INDEX(Inventory!$M$2:$M$200,MATCH(5,Inventory!$N$2:$N$200,0)),"")</f>
        <v/>
      </c>
      <c r="E6">
        <f>IFERROR(INDEX(Inventory!$C$2:$C$200,MATCH(5,Inventory!$N$2:$N$200,0)),"")</f>
        <v/>
      </c>
    </row>
    <row r="7">
      <c r="A7" t="n">
        <v>6</v>
      </c>
      <c r="B7">
        <f>IFERROR(INDEX(Inventory!$A$2:$A$200,MATCH(6,Inventory!$N$2:$N$200,0)),"")</f>
        <v/>
      </c>
      <c r="C7">
        <f>IFERROR(INDEX(Inventory!$L$2:$L$200,MATCH(6,Inventory!$N$2:$N$200,0)),"")</f>
        <v/>
      </c>
      <c r="D7">
        <f>IFERROR(INDEX(Inventory!$M$2:$M$200,MATCH(6,Inventory!$N$2:$N$200,0)),"")</f>
        <v/>
      </c>
      <c r="E7">
        <f>IFERROR(INDEX(Inventory!$C$2:$C$200,MATCH(6,Inventory!$N$2:$N$200,0)),"")</f>
        <v/>
      </c>
    </row>
    <row r="8">
      <c r="A8" t="n">
        <v>7</v>
      </c>
      <c r="B8">
        <f>IFERROR(INDEX(Inventory!$A$2:$A$200,MATCH(7,Inventory!$N$2:$N$200,0)),"")</f>
        <v/>
      </c>
      <c r="C8">
        <f>IFERROR(INDEX(Inventory!$L$2:$L$200,MATCH(7,Inventory!$N$2:$N$200,0)),"")</f>
        <v/>
      </c>
      <c r="D8">
        <f>IFERROR(INDEX(Inventory!$M$2:$M$200,MATCH(7,Inventory!$N$2:$N$200,0)),"")</f>
        <v/>
      </c>
      <c r="E8">
        <f>IFERROR(INDEX(Inventory!$C$2:$C$200,MATCH(7,Inventory!$N$2:$N$200,0)),"")</f>
        <v/>
      </c>
    </row>
    <row r="9">
      <c r="A9" t="n">
        <v>8</v>
      </c>
      <c r="B9">
        <f>IFERROR(INDEX(Inventory!$A$2:$A$200,MATCH(8,Inventory!$N$2:$N$200,0)),"")</f>
        <v/>
      </c>
      <c r="C9">
        <f>IFERROR(INDEX(Inventory!$L$2:$L$200,MATCH(8,Inventory!$N$2:$N$200,0)),"")</f>
        <v/>
      </c>
      <c r="D9">
        <f>IFERROR(INDEX(Inventory!$M$2:$M$200,MATCH(8,Inventory!$N$2:$N$200,0)),"")</f>
        <v/>
      </c>
      <c r="E9">
        <f>IFERROR(INDEX(Inventory!$C$2:$C$200,MATCH(8,Inventory!$N$2:$N$200,0)),"")</f>
        <v/>
      </c>
    </row>
    <row r="10">
      <c r="A10" t="n">
        <v>9</v>
      </c>
      <c r="B10">
        <f>IFERROR(INDEX(Inventory!$A$2:$A$200,MATCH(9,Inventory!$N$2:$N$200,0)),"")</f>
        <v/>
      </c>
      <c r="C10">
        <f>IFERROR(INDEX(Inventory!$L$2:$L$200,MATCH(9,Inventory!$N$2:$N$200,0)),"")</f>
        <v/>
      </c>
      <c r="D10">
        <f>IFERROR(INDEX(Inventory!$M$2:$M$200,MATCH(9,Inventory!$N$2:$N$200,0)),"")</f>
        <v/>
      </c>
      <c r="E10">
        <f>IFERROR(INDEX(Inventory!$C$2:$C$200,MATCH(9,Inventory!$N$2:$N$200,0)),"")</f>
        <v/>
      </c>
    </row>
    <row r="11">
      <c r="A11" t="n">
        <v>10</v>
      </c>
      <c r="B11">
        <f>IFERROR(INDEX(Inventory!$A$2:$A$200,MATCH(10,Inventory!$N$2:$N$200,0)),"")</f>
        <v/>
      </c>
      <c r="C11">
        <f>IFERROR(INDEX(Inventory!$L$2:$L$200,MATCH(10,Inventory!$N$2:$N$200,0)),"")</f>
        <v/>
      </c>
      <c r="D11">
        <f>IFERROR(INDEX(Inventory!$M$2:$M$200,MATCH(10,Inventory!$N$2:$N$200,0)),"")</f>
        <v/>
      </c>
      <c r="E11">
        <f>IFERROR(INDEX(Inventory!$C$2:$C$200,MATCH(10,Inventory!$N$2:$N$200,0)),"")</f>
        <v/>
      </c>
    </row>
    <row r="12">
      <c r="A12" t="n">
        <v>11</v>
      </c>
      <c r="B12">
        <f>IFERROR(INDEX(Inventory!$A$2:$A$200,MATCH(11,Inventory!$N$2:$N$200,0)),"")</f>
        <v/>
      </c>
      <c r="C12">
        <f>IFERROR(INDEX(Inventory!$L$2:$L$200,MATCH(11,Inventory!$N$2:$N$200,0)),"")</f>
        <v/>
      </c>
      <c r="D12">
        <f>IFERROR(INDEX(Inventory!$M$2:$M$200,MATCH(11,Inventory!$N$2:$N$200,0)),"")</f>
        <v/>
      </c>
      <c r="E12">
        <f>IFERROR(INDEX(Inventory!$C$2:$C$200,MATCH(11,Inventory!$N$2:$N$200,0)),"")</f>
        <v/>
      </c>
    </row>
    <row r="13">
      <c r="A13" t="n">
        <v>12</v>
      </c>
      <c r="B13">
        <f>IFERROR(INDEX(Inventory!$A$2:$A$200,MATCH(12,Inventory!$N$2:$N$200,0)),"")</f>
        <v/>
      </c>
      <c r="C13">
        <f>IFERROR(INDEX(Inventory!$L$2:$L$200,MATCH(12,Inventory!$N$2:$N$200,0)),"")</f>
        <v/>
      </c>
      <c r="D13">
        <f>IFERROR(INDEX(Inventory!$M$2:$M$200,MATCH(12,Inventory!$N$2:$N$200,0)),"")</f>
        <v/>
      </c>
      <c r="E13">
        <f>IFERROR(INDEX(Inventory!$C$2:$C$200,MATCH(12,Inventory!$N$2:$N$200,0)),"")</f>
        <v/>
      </c>
    </row>
    <row r="14">
      <c r="A14" t="n">
        <v>13</v>
      </c>
      <c r="B14">
        <f>IFERROR(INDEX(Inventory!$A$2:$A$200,MATCH(13,Inventory!$N$2:$N$200,0)),"")</f>
        <v/>
      </c>
      <c r="C14">
        <f>IFERROR(INDEX(Inventory!$L$2:$L$200,MATCH(13,Inventory!$N$2:$N$200,0)),"")</f>
        <v/>
      </c>
      <c r="D14">
        <f>IFERROR(INDEX(Inventory!$M$2:$M$200,MATCH(13,Inventory!$N$2:$N$200,0)),"")</f>
        <v/>
      </c>
      <c r="E14">
        <f>IFERROR(INDEX(Inventory!$C$2:$C$200,MATCH(13,Inventory!$N$2:$N$200,0)),"")</f>
        <v/>
      </c>
    </row>
    <row r="15">
      <c r="A15" t="n">
        <v>14</v>
      </c>
      <c r="B15">
        <f>IFERROR(INDEX(Inventory!$A$2:$A$200,MATCH(14,Inventory!$N$2:$N$200,0)),"")</f>
        <v/>
      </c>
      <c r="C15">
        <f>IFERROR(INDEX(Inventory!$L$2:$L$200,MATCH(14,Inventory!$N$2:$N$200,0)),"")</f>
        <v/>
      </c>
      <c r="D15">
        <f>IFERROR(INDEX(Inventory!$M$2:$M$200,MATCH(14,Inventory!$N$2:$N$200,0)),"")</f>
        <v/>
      </c>
      <c r="E15">
        <f>IFERROR(INDEX(Inventory!$C$2:$C$200,MATCH(14,Inventory!$N$2:$N$200,0)),"")</f>
        <v/>
      </c>
    </row>
    <row r="16">
      <c r="A16" t="n">
        <v>15</v>
      </c>
      <c r="B16">
        <f>IFERROR(INDEX(Inventory!$A$2:$A$200,MATCH(15,Inventory!$N$2:$N$200,0)),"")</f>
        <v/>
      </c>
      <c r="C16">
        <f>IFERROR(INDEX(Inventory!$L$2:$L$200,MATCH(15,Inventory!$N$2:$N$200,0)),"")</f>
        <v/>
      </c>
      <c r="D16">
        <f>IFERROR(INDEX(Inventory!$M$2:$M$200,MATCH(15,Inventory!$N$2:$N$200,0)),"")</f>
        <v/>
      </c>
      <c r="E16">
        <f>IFERROR(INDEX(Inventory!$C$2:$C$200,MATCH(15,Inventory!$N$2:$N$200,0)),"")</f>
        <v/>
      </c>
    </row>
    <row r="17">
      <c r="A17" t="n">
        <v>16</v>
      </c>
      <c r="B17">
        <f>IFERROR(INDEX(Inventory!$A$2:$A$200,MATCH(16,Inventory!$N$2:$N$200,0)),"")</f>
        <v/>
      </c>
      <c r="C17">
        <f>IFERROR(INDEX(Inventory!$L$2:$L$200,MATCH(16,Inventory!$N$2:$N$200,0)),"")</f>
        <v/>
      </c>
      <c r="D17">
        <f>IFERROR(INDEX(Inventory!$M$2:$M$200,MATCH(16,Inventory!$N$2:$N$200,0)),"")</f>
        <v/>
      </c>
      <c r="E17">
        <f>IFERROR(INDEX(Inventory!$C$2:$C$200,MATCH(16,Inventory!$N$2:$N$200,0)),"")</f>
        <v/>
      </c>
    </row>
    <row r="18">
      <c r="A18" t="n">
        <v>17</v>
      </c>
      <c r="B18">
        <f>IFERROR(INDEX(Inventory!$A$2:$A$200,MATCH(17,Inventory!$N$2:$N$200,0)),"")</f>
        <v/>
      </c>
      <c r="C18">
        <f>IFERROR(INDEX(Inventory!$L$2:$L$200,MATCH(17,Inventory!$N$2:$N$200,0)),"")</f>
        <v/>
      </c>
      <c r="D18">
        <f>IFERROR(INDEX(Inventory!$M$2:$M$200,MATCH(17,Inventory!$N$2:$N$200,0)),"")</f>
        <v/>
      </c>
      <c r="E18">
        <f>IFERROR(INDEX(Inventory!$C$2:$C$200,MATCH(17,Inventory!$N$2:$N$200,0)),"")</f>
        <v/>
      </c>
    </row>
    <row r="19">
      <c r="A19" t="n">
        <v>18</v>
      </c>
      <c r="B19">
        <f>IFERROR(INDEX(Inventory!$A$2:$A$200,MATCH(18,Inventory!$N$2:$N$200,0)),"")</f>
        <v/>
      </c>
      <c r="C19">
        <f>IFERROR(INDEX(Inventory!$L$2:$L$200,MATCH(18,Inventory!$N$2:$N$200,0)),"")</f>
        <v/>
      </c>
      <c r="D19">
        <f>IFERROR(INDEX(Inventory!$M$2:$M$200,MATCH(18,Inventory!$N$2:$N$200,0)),"")</f>
        <v/>
      </c>
      <c r="E19">
        <f>IFERROR(INDEX(Inventory!$C$2:$C$200,MATCH(18,Inventory!$N$2:$N$200,0)),"")</f>
        <v/>
      </c>
    </row>
    <row r="20">
      <c r="A20" t="n">
        <v>19</v>
      </c>
      <c r="B20">
        <f>IFERROR(INDEX(Inventory!$A$2:$A$200,MATCH(19,Inventory!$N$2:$N$200,0)),"")</f>
        <v/>
      </c>
      <c r="C20">
        <f>IFERROR(INDEX(Inventory!$L$2:$L$200,MATCH(19,Inventory!$N$2:$N$200,0)),"")</f>
        <v/>
      </c>
      <c r="D20">
        <f>IFERROR(INDEX(Inventory!$M$2:$M$200,MATCH(19,Inventory!$N$2:$N$200,0)),"")</f>
        <v/>
      </c>
      <c r="E20">
        <f>IFERROR(INDEX(Inventory!$C$2:$C$200,MATCH(19,Inventory!$N$2:$N$200,0)),"")</f>
        <v/>
      </c>
    </row>
    <row r="21">
      <c r="A21" t="n">
        <v>20</v>
      </c>
      <c r="B21">
        <f>IFERROR(INDEX(Inventory!$A$2:$A$200,MATCH(20,Inventory!$N$2:$N$200,0)),"")</f>
        <v/>
      </c>
      <c r="C21">
        <f>IFERROR(INDEX(Inventory!$L$2:$L$200,MATCH(20,Inventory!$N$2:$N$200,0)),"")</f>
        <v/>
      </c>
      <c r="D21">
        <f>IFERROR(INDEX(Inventory!$M$2:$M$200,MATCH(20,Inventory!$N$2:$N$200,0)),"")</f>
        <v/>
      </c>
      <c r="E21">
        <f>IFERROR(INDEX(Inventory!$C$2:$C$200,MATCH(20,Inventory!$N$2:$N$200,0)),"")</f>
        <v/>
      </c>
    </row>
    <row r="22">
      <c r="A22" t="n">
        <v>21</v>
      </c>
      <c r="B22">
        <f>IFERROR(INDEX(Inventory!$A$2:$A$200,MATCH(21,Inventory!$N$2:$N$200,0)),"")</f>
        <v/>
      </c>
      <c r="C22">
        <f>IFERROR(INDEX(Inventory!$L$2:$L$200,MATCH(21,Inventory!$N$2:$N$200,0)),"")</f>
        <v/>
      </c>
      <c r="D22">
        <f>IFERROR(INDEX(Inventory!$M$2:$M$200,MATCH(21,Inventory!$N$2:$N$200,0)),"")</f>
        <v/>
      </c>
      <c r="E22">
        <f>IFERROR(INDEX(Inventory!$C$2:$C$200,MATCH(21,Inventory!$N$2:$N$200,0)),"")</f>
        <v/>
      </c>
    </row>
    <row r="23">
      <c r="A23" t="n">
        <v>22</v>
      </c>
      <c r="B23">
        <f>IFERROR(INDEX(Inventory!$A$2:$A$200,MATCH(22,Inventory!$N$2:$N$200,0)),"")</f>
        <v/>
      </c>
      <c r="C23">
        <f>IFERROR(INDEX(Inventory!$L$2:$L$200,MATCH(22,Inventory!$N$2:$N$200,0)),"")</f>
        <v/>
      </c>
      <c r="D23">
        <f>IFERROR(INDEX(Inventory!$M$2:$M$200,MATCH(22,Inventory!$N$2:$N$200,0)),"")</f>
        <v/>
      </c>
      <c r="E23">
        <f>IFERROR(INDEX(Inventory!$C$2:$C$200,MATCH(22,Inventory!$N$2:$N$200,0)),"")</f>
        <v/>
      </c>
    </row>
    <row r="24">
      <c r="A24" t="n">
        <v>23</v>
      </c>
      <c r="B24">
        <f>IFERROR(INDEX(Inventory!$A$2:$A$200,MATCH(23,Inventory!$N$2:$N$200,0)),"")</f>
        <v/>
      </c>
      <c r="C24">
        <f>IFERROR(INDEX(Inventory!$L$2:$L$200,MATCH(23,Inventory!$N$2:$N$200,0)),"")</f>
        <v/>
      </c>
      <c r="D24">
        <f>IFERROR(INDEX(Inventory!$M$2:$M$200,MATCH(23,Inventory!$N$2:$N$200,0)),"")</f>
        <v/>
      </c>
      <c r="E24">
        <f>IFERROR(INDEX(Inventory!$C$2:$C$200,MATCH(23,Inventory!$N$2:$N$200,0)),"")</f>
        <v/>
      </c>
    </row>
    <row r="25">
      <c r="A25" t="n">
        <v>24</v>
      </c>
      <c r="B25">
        <f>IFERROR(INDEX(Inventory!$A$2:$A$200,MATCH(24,Inventory!$N$2:$N$200,0)),"")</f>
        <v/>
      </c>
      <c r="C25">
        <f>IFERROR(INDEX(Inventory!$L$2:$L$200,MATCH(24,Inventory!$N$2:$N$200,0)),"")</f>
        <v/>
      </c>
      <c r="D25">
        <f>IFERROR(INDEX(Inventory!$M$2:$M$200,MATCH(24,Inventory!$N$2:$N$200,0)),"")</f>
        <v/>
      </c>
      <c r="E25">
        <f>IFERROR(INDEX(Inventory!$C$2:$C$200,MATCH(24,Inventory!$N$2:$N$200,0)),"")</f>
        <v/>
      </c>
    </row>
    <row r="26">
      <c r="A26" t="n">
        <v>25</v>
      </c>
      <c r="B26">
        <f>IFERROR(INDEX(Inventory!$A$2:$A$200,MATCH(25,Inventory!$N$2:$N$200,0)),"")</f>
        <v/>
      </c>
      <c r="C26">
        <f>IFERROR(INDEX(Inventory!$L$2:$L$200,MATCH(25,Inventory!$N$2:$N$200,0)),"")</f>
        <v/>
      </c>
      <c r="D26">
        <f>IFERROR(INDEX(Inventory!$M$2:$M$200,MATCH(25,Inventory!$N$2:$N$200,0)),"")</f>
        <v/>
      </c>
      <c r="E26">
        <f>IFERROR(INDEX(Inventory!$C$2:$C$200,MATCH(25,Inventory!$N$2:$N$200,0)),"")</f>
        <v/>
      </c>
    </row>
    <row r="27">
      <c r="A27" t="n">
        <v>26</v>
      </c>
      <c r="B27">
        <f>IFERROR(INDEX(Inventory!$A$2:$A$200,MATCH(26,Inventory!$N$2:$N$200,0)),"")</f>
        <v/>
      </c>
      <c r="C27">
        <f>IFERROR(INDEX(Inventory!$L$2:$L$200,MATCH(26,Inventory!$N$2:$N$200,0)),"")</f>
        <v/>
      </c>
      <c r="D27">
        <f>IFERROR(INDEX(Inventory!$M$2:$M$200,MATCH(26,Inventory!$N$2:$N$200,0)),"")</f>
        <v/>
      </c>
      <c r="E27">
        <f>IFERROR(INDEX(Inventory!$C$2:$C$200,MATCH(26,Inventory!$N$2:$N$200,0)),"")</f>
        <v/>
      </c>
    </row>
    <row r="28">
      <c r="A28" t="n">
        <v>27</v>
      </c>
      <c r="B28">
        <f>IFERROR(INDEX(Inventory!$A$2:$A$200,MATCH(27,Inventory!$N$2:$N$200,0)),"")</f>
        <v/>
      </c>
      <c r="C28">
        <f>IFERROR(INDEX(Inventory!$L$2:$L$200,MATCH(27,Inventory!$N$2:$N$200,0)),"")</f>
        <v/>
      </c>
      <c r="D28">
        <f>IFERROR(INDEX(Inventory!$M$2:$M$200,MATCH(27,Inventory!$N$2:$N$200,0)),"")</f>
        <v/>
      </c>
      <c r="E28">
        <f>IFERROR(INDEX(Inventory!$C$2:$C$200,MATCH(27,Inventory!$N$2:$N$200,0)),"")</f>
        <v/>
      </c>
    </row>
    <row r="29">
      <c r="A29" t="n">
        <v>28</v>
      </c>
      <c r="B29">
        <f>IFERROR(INDEX(Inventory!$A$2:$A$200,MATCH(28,Inventory!$N$2:$N$200,0)),"")</f>
        <v/>
      </c>
      <c r="C29">
        <f>IFERROR(INDEX(Inventory!$L$2:$L$200,MATCH(28,Inventory!$N$2:$N$200,0)),"")</f>
        <v/>
      </c>
      <c r="D29">
        <f>IFERROR(INDEX(Inventory!$M$2:$M$200,MATCH(28,Inventory!$N$2:$N$200,0)),"")</f>
        <v/>
      </c>
      <c r="E29">
        <f>IFERROR(INDEX(Inventory!$C$2:$C$200,MATCH(28,Inventory!$N$2:$N$200,0)),"")</f>
        <v/>
      </c>
    </row>
    <row r="30">
      <c r="A30" t="n">
        <v>29</v>
      </c>
      <c r="B30">
        <f>IFERROR(INDEX(Inventory!$A$2:$A$200,MATCH(29,Inventory!$N$2:$N$200,0)),"")</f>
        <v/>
      </c>
      <c r="C30">
        <f>IFERROR(INDEX(Inventory!$L$2:$L$200,MATCH(29,Inventory!$N$2:$N$200,0)),"")</f>
        <v/>
      </c>
      <c r="D30">
        <f>IFERROR(INDEX(Inventory!$M$2:$M$200,MATCH(29,Inventory!$N$2:$N$200,0)),"")</f>
        <v/>
      </c>
      <c r="E30">
        <f>IFERROR(INDEX(Inventory!$C$2:$C$200,MATCH(29,Inventory!$N$2:$N$200,0)),"")</f>
        <v/>
      </c>
    </row>
    <row r="31">
      <c r="A31" t="n">
        <v>30</v>
      </c>
      <c r="B31">
        <f>IFERROR(INDEX(Inventory!$A$2:$A$200,MATCH(30,Inventory!$N$2:$N$200,0)),"")</f>
        <v/>
      </c>
      <c r="C31">
        <f>IFERROR(INDEX(Inventory!$L$2:$L$200,MATCH(30,Inventory!$N$2:$N$200,0)),"")</f>
        <v/>
      </c>
      <c r="D31">
        <f>IFERROR(INDEX(Inventory!$M$2:$M$200,MATCH(30,Inventory!$N$2:$N$200,0)),"")</f>
        <v/>
      </c>
      <c r="E31">
        <f>IFERROR(INDEX(Inventory!$C$2:$C$200,MATCH(30,Inventory!$N$2:$N$200,0)),"")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Replace threshold (score &gt;=)</t>
        </is>
      </c>
      <c r="B1" t="n">
        <v>1</v>
      </c>
    </row>
    <row r="2">
      <c r="A2" t="inlineStr">
        <is>
          <t>Review threshold (score &gt;=)</t>
        </is>
      </c>
      <c r="B2" t="n">
        <v>0.5</v>
      </c>
    </row>
    <row r="4">
      <c r="A4" t="inlineStr">
        <is>
          <t>Score = value x confidence / (effort + risk). Critical systems never qualify.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80" customWidth="1" min="4" max="4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Question (FR)</t>
        </is>
      </c>
      <c r="D1" s="2" t="inlineStr">
        <is>
          <t>Passes when</t>
        </is>
      </c>
    </row>
    <row r="2">
      <c r="A2" t="inlineStr">
        <is>
          <t>C1</t>
        </is>
      </c>
      <c r="B2" t="inlineStr">
        <is>
          <t>Is it a critical system (site control, metering, billing, finance books)?</t>
        </is>
      </c>
      <c r="C2" t="inlineStr">
        <is>
          <t>Critique ? Ne pas remplacer sans validation.</t>
        </is>
      </c>
      <c r="D2" t="inlineStr">
        <is>
          <t>If yes: no replacement without IT Senior Manager and FP&amp;A Lead sign-off; access read-only by default.</t>
        </is>
      </c>
    </row>
    <row r="3">
      <c r="A3" t="inlineStr">
        <is>
          <t>C2</t>
        </is>
      </c>
      <c r="B3" t="inlineStr">
        <is>
          <t>Can all data be exported in an open format (CSV, JSON, SQL)?</t>
        </is>
      </c>
      <c r="C3" t="inlineStr">
        <is>
          <t>Export complet possible ?</t>
        </is>
      </c>
      <c r="D3" t="inlineStr">
        <is>
          <t>A full export has been tested, not just promised.</t>
        </is>
      </c>
    </row>
    <row r="4">
      <c r="A4" t="inlineStr">
        <is>
          <t>C3</t>
        </is>
      </c>
      <c r="B4" t="inlineStr">
        <is>
          <t>Are the accounts and licences owned by the company, not a person?</t>
        </is>
      </c>
      <c r="C4" t="inlineStr">
        <is>
          <t>Comptes et licences au nom de l'entreprise ?</t>
        </is>
      </c>
      <c r="D4" t="inlineStr">
        <is>
          <t>Admin accounts sit on company-owned identities with MFA.</t>
        </is>
      </c>
    </row>
    <row r="5">
      <c r="A5" t="inlineStr">
        <is>
          <t>C4</t>
        </is>
      </c>
      <c r="B5" t="inlineStr">
        <is>
          <t>What personal or sensitive data does it hold, and where is it stored?</t>
        </is>
      </c>
      <c r="C5" t="inlineStr">
        <is>
          <t>Quelles donnees personnelles, et ou ?</t>
        </is>
      </c>
      <c r="D5" t="inlineStr">
        <is>
          <t>Covered by GDPR principles and DRC law; a data processing agreement exists or is planned.</t>
        </is>
      </c>
    </row>
    <row r="6">
      <c r="A6" t="inlineStr">
        <is>
          <t>C5</t>
        </is>
      </c>
      <c r="B6" t="inlineStr">
        <is>
          <t>Can the replacement run in company-owned infrastructure with least-privilege access?</t>
        </is>
      </c>
      <c r="C6" t="inlineStr">
        <is>
          <t>Hebergement et acces minimaux ?</t>
        </is>
      </c>
      <c r="D6" t="inlineStr">
        <is>
          <t>Secrets manager, MFA, separate environments, backups, access granted by IT/Cloud managers.</t>
        </is>
      </c>
    </row>
    <row r="7">
      <c r="A7" t="inlineStr">
        <is>
          <t>C6</t>
        </is>
      </c>
      <c r="B7" t="inlineStr">
        <is>
          <t>Does the replacement use AI?</t>
        </is>
      </c>
      <c r="C7" t="inlineStr">
        <is>
          <t>Usage d'IA ?</t>
        </is>
      </c>
      <c r="D7" t="inlineStr">
        <is>
          <t>Approved provider only, no training on company data, no sensitive data typed into AI tools, a person reviews any AI output that affects money.</t>
        </is>
      </c>
    </row>
    <row r="8">
      <c r="A8" t="inlineStr">
        <is>
          <t>C7</t>
        </is>
      </c>
      <c r="B8" t="inlineStr">
        <is>
          <t>Who maintains it after handover?</t>
        </is>
      </c>
      <c r="C8" t="inlineStr">
        <is>
          <t>Qui le maintient apres la livraison ?</t>
        </is>
      </c>
      <c r="D8" t="inlineStr">
        <is>
          <t>Named owner, documentation, runbook, training session delivered.</t>
        </is>
      </c>
    </row>
    <row r="9">
      <c r="A9" t="inlineStr">
        <is>
          <t>C8</t>
        </is>
      </c>
      <c r="B9" t="inlineStr">
        <is>
          <t>What are the contract notice period and exit cost?</t>
        </is>
      </c>
      <c r="C9" t="inlineStr">
        <is>
          <t>Preavis et cout de sortie ?</t>
        </is>
      </c>
      <c r="D9" t="inlineStr">
        <is>
          <t>Cancellation date known; parallel running fits before it.</t>
        </is>
      </c>
    </row>
    <row r="10">
      <c r="A10" t="inlineStr">
        <is>
          <t>C9</t>
        </is>
      </c>
      <c r="B10" t="inlineStr">
        <is>
          <t>What does it integrate with (APIs, webhooks, Google Workspace, accounting)?</t>
        </is>
      </c>
      <c r="C10" t="inlineStr">
        <is>
          <t>Quelles integrations ?</t>
        </is>
      </c>
      <c r="D10" t="inlineStr">
        <is>
          <t>Every integration is listed and has a replacement path.</t>
        </is>
      </c>
    </row>
    <row r="11">
      <c r="A11" t="inlineStr">
        <is>
          <t>C10</t>
        </is>
      </c>
      <c r="B11" t="inlineStr">
        <is>
          <t>Is there a tested backup/restore and an availability target?</t>
        </is>
      </c>
      <c r="C11" t="inlineStr">
        <is>
          <t>Sauvegarde, restauration, disponibilite ?</t>
        </is>
      </c>
      <c r="D11" t="inlineStr">
        <is>
          <t>Restore was tested once; target agreed with IT Senior Manager.</t>
        </is>
      </c>
    </row>
    <row r="12">
      <c r="A12" t="inlineStr">
        <is>
          <t>C11</t>
        </is>
      </c>
      <c r="B12" t="inlineStr">
        <is>
          <t>Is there a pilot with a rollback?</t>
        </is>
      </c>
      <c r="C12" t="inlineStr">
        <is>
          <t>Pilote avec retour arriere ?</t>
        </is>
      </c>
      <c r="D12" t="inlineStr">
        <is>
          <t>Run in parallel for an agreed period; rollback procedure written and rehearsed.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2026-10-23T23:20:14Z</dcterms:created>
  <dcterms:modified xsi:type="dcterms:W3CDTF">2026-10-23T23:20:14Z</dcterms:modified>
</cp:coreProperties>
</file>